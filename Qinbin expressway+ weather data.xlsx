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88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definedNames>
    <definedName name="_xlnm._FilterDatabase" localSheetId="1" hidden="1">Sheet2!$A$1:$H$745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<sst xmlns="http://schemas.openxmlformats.org/spreadsheetml/2006/main" count="3057" uniqueCount="76">
  <si>
    <t>日期</t>
  </si>
  <si>
    <t>时段</t>
  </si>
  <si>
    <t>是否为节假日</t>
  </si>
  <si>
    <t>北往南车流量</t>
  </si>
  <si>
    <t>南往北车流量</t>
  </si>
  <si>
    <t>累计总车流量</t>
  </si>
  <si>
    <t>北部气温(°C)</t>
  </si>
  <si>
    <t>天气代码()</t>
  </si>
  <si>
    <t>北部天气情况分值</t>
  </si>
  <si>
    <t>北部降雨量(mm)</t>
  </si>
  <si>
    <t>北部10米风速(m/s)</t>
  </si>
  <si>
    <t>南部气温(°C)</t>
  </si>
  <si>
    <t>南部天气代码()</t>
  </si>
  <si>
    <t>南部天气情况分值</t>
  </si>
  <si>
    <t>南部降雨量(mm)</t>
  </si>
  <si>
    <t>南部10米风速(m/s)</t>
  </si>
  <si>
    <t>晴</t>
  </si>
  <si>
    <t>毛毛雨</t>
  </si>
  <si>
    <t>阴</t>
  </si>
  <si>
    <t>多云</t>
  </si>
  <si>
    <t>小雨</t>
  </si>
  <si>
    <t>中雨</t>
  </si>
  <si>
    <t>地名</t>
  </si>
  <si>
    <t>时间</t>
  </si>
  <si>
    <t>2米气温(°C)</t>
  </si>
  <si>
    <t>降雨量(mm)</t>
  </si>
  <si>
    <t>10米风速(m/s)</t>
  </si>
  <si>
    <t>秦皇岛（北）</t>
  </si>
  <si>
    <t>总降水量(雨+雪)(mm)</t>
  </si>
  <si>
    <t>滨州（南）</t>
  </si>
  <si>
    <t>天气类型</t>
  </si>
  <si>
    <t>量化分数（正向）</t>
  </si>
  <si>
    <t>说明</t>
  </si>
  <si>
    <t>最优天气，车流量最大</t>
  </si>
  <si>
    <t>天气好，车流量较大</t>
  </si>
  <si>
    <t>无明显影响，车流量中等</t>
  </si>
  <si>
    <t>影响轻微，车流量略降</t>
  </si>
  <si>
    <t>影响增强，车流量下降</t>
  </si>
  <si>
    <t>影响明显，车流量较低</t>
  </si>
  <si>
    <t>Model</t>
  </si>
  <si>
    <t>Train Time(s)</t>
  </si>
  <si>
    <t>Train R^2</t>
  </si>
  <si>
    <t>Test R^2</t>
  </si>
  <si>
    <t>Overfitting</t>
  </si>
  <si>
    <t>Test MAE</t>
  </si>
  <si>
    <t>Test RMSE</t>
  </si>
  <si>
    <t>Test MAPE(%)</t>
  </si>
  <si>
    <t>Linear Regression</t>
  </si>
  <si>
    <t>Ridge Regression</t>
  </si>
  <si>
    <t>Lasso Regression</t>
  </si>
  <si>
    <t>Decision Tree</t>
  </si>
  <si>
    <t>Random Forest</t>
  </si>
  <si>
    <t>Gradient Boosting</t>
  </si>
  <si>
    <t>SVR</t>
  </si>
  <si>
    <t>KNN</t>
  </si>
  <si>
    <t>Library</t>
  </si>
  <si>
    <t>Version</t>
  </si>
  <si>
    <t>Purpose</t>
  </si>
  <si>
    <t>scikit-learn</t>
  </si>
  <si>
    <t>1.3.0</t>
  </si>
  <si>
    <t>Core machine learning library: model implementation (GradientBoostingRegressor, RandomForestRegressor, Ridge), data splitting, preprocessing, hyperparameter tuning (GridSearchCV), and evaluation metrics.</t>
  </si>
  <si>
    <t>pandas</t>
  </si>
  <si>
    <t>2.0.3</t>
  </si>
  <si>
    <t>Data manipulation, structuring (DataFrames), and feature engineering.</t>
  </si>
  <si>
    <t>numpy</t>
  </si>
  <si>
    <t>1.24.3</t>
  </si>
  <si>
    <t>Underlying numerical computations.</t>
  </si>
  <si>
    <r>
      <t>matplotlib</t>
    </r>
    <r>
      <rPr>
        <sz val="11.25"/>
        <color rgb="FF0F1115"/>
        <rFont val="Segoe UI"/>
        <charset val="134"/>
      </rPr>
      <t> &amp; </t>
    </r>
    <r>
      <rPr>
        <sz val="11.25"/>
        <color rgb="FF0F1115"/>
        <rFont val="Segoe UI"/>
        <charset val="134"/>
      </rPr>
      <t>seaborn</t>
    </r>
  </si>
  <si>
    <t>3.7.1 &amp; 0.12.2</t>
  </si>
  <si>
    <t>Generation of all visualizations for exploratory data analysis (EDA) and result presentation.</t>
  </si>
  <si>
    <t>scipy</t>
  </si>
  <si>
    <t>1.11.1</t>
  </si>
  <si>
    <t>Statistical computations (e.g., for normality tests in residual analysis).</t>
  </si>
  <si>
    <t>jupyter</t>
  </si>
  <si>
    <t>1.0.0</t>
  </si>
  <si>
    <t>Interactive development environment for code execution and analysis.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</si>
</sst>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);[Red]\(0\)"/>
    <numFmt numFmtId="178" formatCode="0_ "/>
  </numFmts>
  <fonts count="26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sz val="12"/>
      <color rgb="FF000000"/>
      <name val="Segoe UI"/>
      <charset val="134"/>
    </font>
    <font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1"/>
      <name val="SimSun"/>
      <charset val="134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4" fillId="0" borderId="0" xfId="0" applyNumberFormat="1" applyFont="1" applyFill="1" applyAlignment="1"/>
    <xf numFmtId="176" fontId="4" fillId="0" borderId="0" xfId="0" applyNumberFormat="1" applyFont="1" applyFill="1" applyAlignment="1"/>
    <xf numFmtId="14" fontId="4" fillId="0" borderId="0" xfId="0" applyNumberFormat="1" applyFont="1" applyFill="1" applyAlignment="1"/>
    <xf numFmtId="177" fontId="4" fillId="0" borderId="0" xfId="0" applyNumberFormat="1" applyFont="1" applyFill="1" applyAlignment="1"/>
    <xf numFmtId="176" fontId="0" fillId="0" borderId="0" xfId="0" applyNumberFormat="1">
      <alignment vertical="center"/>
    </xf>
    <xf numFmtId="176" fontId="0" fillId="0" borderId="0" xfId="0" applyNumberFormat="1" applyFill="1" applyAlignment="1">
      <alignment vertical="center"/>
    </xf>
    <xf numFmtId="0" fontId="0" fillId="0" borderId="0" xfId="0" applyNumberFormat="1" applyFill="1" applyAlignment="1">
      <alignment vertical="center"/>
    </xf>
    <xf numFmtId="177" fontId="5" fillId="0" borderId="0" xfId="0" applyNumberFormat="1" applyFont="1" applyFill="1" applyAlignment="1">
      <alignment vertical="center"/>
    </xf>
    <xf numFmtId="176" fontId="5" fillId="0" borderId="0" xfId="0" applyNumberFormat="1" applyFont="1" applyFill="1" applyAlignment="1">
      <alignment vertical="center"/>
    </xf>
    <xf numFmtId="178" fontId="0" fillId="0" borderId="0" xfId="0" applyNumberFormat="1" applyFill="1" applyAlignment="1">
      <alignment vertical="center"/>
    </xf>
    <xf numFmtId="0" fontId="5" fillId="0" borderId="0" xfId="0" applyNumberFormat="1" applyFont="1" applyFill="1" applyAlignment="1">
      <alignment vertical="center"/>
    </xf>
    <xf numFmtId="0" fontId="6" fillId="2" borderId="1" xfId="0" applyNumberFormat="1" applyFont="1" applyFill="1" applyBorder="1" applyAlignment="1">
      <alignment horizontal="center" vertical="center"/>
    </xf>
    <xf numFmtId="178" fontId="5" fillId="0" borderId="0" xfId="0" applyNumberFormat="1" applyFont="1" applyFill="1" applyAlignment="1">
      <alignment vertical="center"/>
    </xf>
    <xf numFmtId="0" fontId="6" fillId="2" borderId="2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84"/>
  <sheetViews>
    <sheetView tabSelected="1" zoomScale="50" zoomScaleNormal="50" workbookViewId="0">
      <selection activeCell="A1" sqref="A$1:A$1048576"/>
    </sheetView>
  </sheetViews>
  <sheetFormatPr defaultColWidth="8.89380530973451" defaultRowHeight="14.3"/>
  <cols>
    <col min="1" max="1" width="8.89380530973451" style="12"/>
    <col min="2" max="2" width="14.6283185840708" style="13"/>
    <col min="3" max="3" width="18.0442477876106" style="14" customWidth="1"/>
    <col min="4" max="4" width="18.0442477876106" style="15" customWidth="1"/>
    <col min="5" max="5" width="18.0442477876106" style="14" customWidth="1"/>
    <col min="6" max="6" width="15.1769911504425" style="16"/>
    <col min="9" max="9" width="9.26548672566372" customWidth="1"/>
    <col min="11" max="11" width="20.8230088495575" customWidth="1"/>
  </cols>
  <sheetData>
    <row r="1" ht="15.3" spans="1:16">
      <c r="A1" s="12" t="s">
        <v>0</v>
      </c>
      <c r="B1" s="17" t="s">
        <v>1</v>
      </c>
      <c r="C1" s="14" t="s">
        <v>2</v>
      </c>
      <c r="D1" s="15" t="s">
        <v>3</v>
      </c>
      <c r="E1" s="14" t="s">
        <v>4</v>
      </c>
      <c r="F1" s="16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</row>
    <row r="2" ht="15.3" spans="1:16">
      <c r="A2" s="12">
        <v>10.01</v>
      </c>
      <c r="B2" s="18">
        <v>2</v>
      </c>
      <c r="C2" s="14">
        <v>1</v>
      </c>
      <c r="D2" s="15">
        <v>2469</v>
      </c>
      <c r="E2" s="14">
        <v>3087</v>
      </c>
      <c r="F2" s="19">
        <f>D2+E2</f>
        <v>5556</v>
      </c>
      <c r="G2" s="7">
        <v>23.5</v>
      </c>
      <c r="H2" s="7" t="s">
        <v>16</v>
      </c>
      <c r="I2" s="7">
        <f>VLOOKUP(H2,Sheet4!A:B,2,0)</f>
        <v>10</v>
      </c>
      <c r="J2" s="7">
        <v>0</v>
      </c>
      <c r="K2" s="7">
        <v>4.92</v>
      </c>
      <c r="L2" s="7">
        <v>20.61</v>
      </c>
      <c r="M2" s="7" t="s">
        <v>16</v>
      </c>
      <c r="N2" s="7">
        <f>VLOOKUP(M2,Sheet4!A:B,2,0)</f>
        <v>10</v>
      </c>
      <c r="O2" s="7">
        <v>0</v>
      </c>
      <c r="P2" s="7">
        <v>3.47</v>
      </c>
    </row>
    <row r="3" ht="15.3" spans="1:16">
      <c r="A3" s="12">
        <v>10.01</v>
      </c>
      <c r="B3" s="18">
        <v>4</v>
      </c>
      <c r="C3" s="14">
        <v>1</v>
      </c>
      <c r="D3" s="15">
        <v>2758</v>
      </c>
      <c r="E3" s="14">
        <v>1651</v>
      </c>
      <c r="F3" s="19">
        <f t="shared" ref="F3:F66" si="0">D3+E3</f>
        <v>4409</v>
      </c>
      <c r="G3" s="7">
        <v>23.2</v>
      </c>
      <c r="H3" s="7" t="s">
        <v>16</v>
      </c>
      <c r="I3" s="7">
        <f>VLOOKUP(H3,Sheet4!A:B,2,0)</f>
        <v>10</v>
      </c>
      <c r="J3" s="7">
        <v>0</v>
      </c>
      <c r="K3" s="7">
        <v>4.72</v>
      </c>
      <c r="L3" s="7">
        <v>19.91</v>
      </c>
      <c r="M3" s="7" t="s">
        <v>16</v>
      </c>
      <c r="N3" s="7">
        <f>VLOOKUP(M3,Sheet4!A:B,2,0)</f>
        <v>10</v>
      </c>
      <c r="O3" s="7">
        <v>0</v>
      </c>
      <c r="P3" s="7">
        <v>3.02</v>
      </c>
    </row>
    <row r="4" ht="15.3" spans="1:16">
      <c r="A4" s="12">
        <v>10.01</v>
      </c>
      <c r="B4" s="18">
        <v>6</v>
      </c>
      <c r="C4" s="14">
        <v>1</v>
      </c>
      <c r="D4" s="15">
        <v>2030</v>
      </c>
      <c r="E4" s="14">
        <v>1935</v>
      </c>
      <c r="F4" s="19">
        <f t="shared" si="0"/>
        <v>3965</v>
      </c>
      <c r="G4" s="7">
        <v>22.85</v>
      </c>
      <c r="H4" s="7" t="s">
        <v>16</v>
      </c>
      <c r="I4" s="7">
        <f>VLOOKUP(H4,Sheet4!A:B,2,0)</f>
        <v>10</v>
      </c>
      <c r="J4" s="7">
        <v>0</v>
      </c>
      <c r="K4" s="7">
        <v>4.32</v>
      </c>
      <c r="L4" s="7">
        <v>19.61</v>
      </c>
      <c r="M4" s="7" t="s">
        <v>16</v>
      </c>
      <c r="N4" s="7">
        <f>VLOOKUP(M4,Sheet4!A:B,2,0)</f>
        <v>10</v>
      </c>
      <c r="O4" s="7">
        <v>0</v>
      </c>
      <c r="P4" s="7">
        <v>3.34</v>
      </c>
    </row>
    <row r="5" ht="15.3" spans="1:16">
      <c r="A5" s="12">
        <v>10.01</v>
      </c>
      <c r="B5" s="18">
        <v>8</v>
      </c>
      <c r="C5" s="14">
        <v>1</v>
      </c>
      <c r="D5" s="15">
        <v>3173</v>
      </c>
      <c r="E5" s="14">
        <v>2936</v>
      </c>
      <c r="F5" s="19">
        <f t="shared" si="0"/>
        <v>6109</v>
      </c>
      <c r="G5" s="7">
        <v>22.45</v>
      </c>
      <c r="H5" s="7" t="s">
        <v>16</v>
      </c>
      <c r="I5" s="7">
        <f>VLOOKUP(H5,Sheet4!A:B,2,0)</f>
        <v>10</v>
      </c>
      <c r="J5" s="7">
        <v>0</v>
      </c>
      <c r="K5" s="7">
        <v>4.27</v>
      </c>
      <c r="L5" s="7">
        <v>19.96</v>
      </c>
      <c r="M5" s="7" t="s">
        <v>16</v>
      </c>
      <c r="N5" s="7">
        <f>VLOOKUP(M5,Sheet4!A:B,2,0)</f>
        <v>10</v>
      </c>
      <c r="O5" s="7">
        <v>0</v>
      </c>
      <c r="P5" s="7">
        <v>3.79</v>
      </c>
    </row>
    <row r="6" ht="15.3" spans="1:16">
      <c r="A6" s="12">
        <v>10.01</v>
      </c>
      <c r="B6" s="18">
        <v>10</v>
      </c>
      <c r="C6" s="14">
        <v>1</v>
      </c>
      <c r="D6" s="15">
        <v>3845</v>
      </c>
      <c r="E6" s="14">
        <v>2799</v>
      </c>
      <c r="F6" s="19">
        <f t="shared" si="0"/>
        <v>6644</v>
      </c>
      <c r="G6" s="7">
        <v>22.8</v>
      </c>
      <c r="H6" s="7" t="s">
        <v>16</v>
      </c>
      <c r="I6" s="7">
        <f>VLOOKUP(H6,Sheet4!A:B,2,0)</f>
        <v>10</v>
      </c>
      <c r="J6" s="7">
        <v>0</v>
      </c>
      <c r="K6" s="7">
        <v>3.93</v>
      </c>
      <c r="L6" s="7">
        <v>23.71</v>
      </c>
      <c r="M6" s="7" t="s">
        <v>16</v>
      </c>
      <c r="N6" s="7">
        <f>VLOOKUP(M6,Sheet4!A:B,2,0)</f>
        <v>10</v>
      </c>
      <c r="O6" s="7">
        <v>0</v>
      </c>
      <c r="P6" s="7">
        <v>3.49</v>
      </c>
    </row>
    <row r="7" ht="15.3" spans="1:16">
      <c r="A7" s="12">
        <v>10.01</v>
      </c>
      <c r="B7" s="18">
        <v>12</v>
      </c>
      <c r="C7" s="14">
        <v>1</v>
      </c>
      <c r="D7" s="15">
        <v>4520</v>
      </c>
      <c r="E7" s="14">
        <v>3166</v>
      </c>
      <c r="F7" s="19">
        <f t="shared" si="0"/>
        <v>7686</v>
      </c>
      <c r="G7" s="7">
        <v>22.5</v>
      </c>
      <c r="H7" s="7" t="s">
        <v>16</v>
      </c>
      <c r="I7" s="7">
        <f>VLOOKUP(H7,Sheet4!A:B,2,0)</f>
        <v>10</v>
      </c>
      <c r="J7" s="7">
        <v>0</v>
      </c>
      <c r="K7" s="7">
        <v>3.58</v>
      </c>
      <c r="L7" s="7">
        <v>26.36</v>
      </c>
      <c r="M7" s="7" t="s">
        <v>16</v>
      </c>
      <c r="N7" s="7">
        <f>VLOOKUP(M7,Sheet4!A:B,2,0)</f>
        <v>10</v>
      </c>
      <c r="O7" s="7">
        <v>0</v>
      </c>
      <c r="P7" s="7">
        <v>3.35</v>
      </c>
    </row>
    <row r="8" ht="15.3" spans="1:16">
      <c r="A8" s="12">
        <v>10.01</v>
      </c>
      <c r="B8" s="18">
        <v>14</v>
      </c>
      <c r="C8" s="14">
        <v>1</v>
      </c>
      <c r="D8" s="15">
        <v>4334</v>
      </c>
      <c r="E8" s="14">
        <v>2871</v>
      </c>
      <c r="F8" s="19">
        <f t="shared" si="0"/>
        <v>7205</v>
      </c>
      <c r="G8" s="7">
        <v>23</v>
      </c>
      <c r="H8" s="7" t="s">
        <v>16</v>
      </c>
      <c r="I8" s="7">
        <f>VLOOKUP(H8,Sheet4!A:B,2,0)</f>
        <v>10</v>
      </c>
      <c r="J8" s="7">
        <v>0</v>
      </c>
      <c r="K8" s="7">
        <v>3.43</v>
      </c>
      <c r="L8" s="7">
        <v>27.71</v>
      </c>
      <c r="M8" s="7" t="s">
        <v>16</v>
      </c>
      <c r="N8" s="7">
        <f>VLOOKUP(M8,Sheet4!A:B,2,0)</f>
        <v>10</v>
      </c>
      <c r="O8" s="7">
        <v>0</v>
      </c>
      <c r="P8" s="7">
        <v>2.26</v>
      </c>
    </row>
    <row r="9" ht="15.3" spans="1:16">
      <c r="A9" s="12">
        <v>10.01</v>
      </c>
      <c r="B9" s="18">
        <v>16</v>
      </c>
      <c r="C9" s="14">
        <v>1</v>
      </c>
      <c r="D9" s="15">
        <v>4424</v>
      </c>
      <c r="E9" s="14">
        <v>3098</v>
      </c>
      <c r="F9" s="19">
        <f t="shared" si="0"/>
        <v>7522</v>
      </c>
      <c r="G9" s="7">
        <v>23.45</v>
      </c>
      <c r="H9" s="7" t="s">
        <v>16</v>
      </c>
      <c r="I9" s="7">
        <f>VLOOKUP(H9,Sheet4!A:B,2,0)</f>
        <v>10</v>
      </c>
      <c r="J9" s="7">
        <v>0</v>
      </c>
      <c r="K9" s="7">
        <v>3.8</v>
      </c>
      <c r="L9" s="7">
        <v>28.91</v>
      </c>
      <c r="M9" s="7" t="s">
        <v>16</v>
      </c>
      <c r="N9" s="7">
        <f>VLOOKUP(M9,Sheet4!A:B,2,0)</f>
        <v>10</v>
      </c>
      <c r="O9" s="7">
        <v>0</v>
      </c>
      <c r="P9" s="7">
        <v>1.42</v>
      </c>
    </row>
    <row r="10" ht="15.3" spans="1:16">
      <c r="A10" s="12">
        <v>10.01</v>
      </c>
      <c r="B10" s="18">
        <v>18</v>
      </c>
      <c r="C10" s="14">
        <v>1</v>
      </c>
      <c r="D10" s="15">
        <v>3857</v>
      </c>
      <c r="E10" s="14">
        <v>3028</v>
      </c>
      <c r="F10" s="19">
        <f t="shared" si="0"/>
        <v>6885</v>
      </c>
      <c r="G10" s="7">
        <v>23.05</v>
      </c>
      <c r="H10" s="7" t="s">
        <v>16</v>
      </c>
      <c r="I10" s="7">
        <f>VLOOKUP(H10,Sheet4!A:B,2,0)</f>
        <v>10</v>
      </c>
      <c r="J10" s="7">
        <v>0</v>
      </c>
      <c r="K10" s="7">
        <v>4.46</v>
      </c>
      <c r="L10" s="7">
        <v>27.21</v>
      </c>
      <c r="M10" s="7" t="s">
        <v>16</v>
      </c>
      <c r="N10" s="7">
        <f>VLOOKUP(M10,Sheet4!A:B,2,0)</f>
        <v>10</v>
      </c>
      <c r="O10" s="7">
        <v>0</v>
      </c>
      <c r="P10" s="7">
        <v>1.12</v>
      </c>
    </row>
    <row r="11" ht="15.3" spans="1:16">
      <c r="A11" s="12">
        <v>10.01</v>
      </c>
      <c r="B11" s="18">
        <v>20</v>
      </c>
      <c r="C11" s="14">
        <v>1</v>
      </c>
      <c r="D11" s="15">
        <v>2930</v>
      </c>
      <c r="E11" s="14">
        <v>2234</v>
      </c>
      <c r="F11" s="19">
        <f t="shared" si="0"/>
        <v>5164</v>
      </c>
      <c r="G11" s="7">
        <v>22.95</v>
      </c>
      <c r="H11" s="7" t="s">
        <v>16</v>
      </c>
      <c r="I11" s="7">
        <f>VLOOKUP(H11,Sheet4!A:B,2,0)</f>
        <v>10</v>
      </c>
      <c r="J11" s="7">
        <v>0</v>
      </c>
      <c r="K11" s="7">
        <v>2.48</v>
      </c>
      <c r="L11" s="7">
        <v>24.46</v>
      </c>
      <c r="M11" s="7" t="s">
        <v>16</v>
      </c>
      <c r="N11" s="7">
        <f>VLOOKUP(M11,Sheet4!A:B,2,0)</f>
        <v>10</v>
      </c>
      <c r="O11" s="7">
        <v>0</v>
      </c>
      <c r="P11" s="7">
        <v>4.28</v>
      </c>
    </row>
    <row r="12" ht="15.3" spans="1:16">
      <c r="A12" s="12">
        <v>10.01</v>
      </c>
      <c r="B12" s="18">
        <v>22</v>
      </c>
      <c r="C12" s="14">
        <v>1</v>
      </c>
      <c r="D12" s="15">
        <v>1308</v>
      </c>
      <c r="E12" s="14">
        <v>1706</v>
      </c>
      <c r="F12" s="19">
        <f t="shared" si="0"/>
        <v>3014</v>
      </c>
      <c r="G12" s="7">
        <v>22.85</v>
      </c>
      <c r="H12" s="7" t="s">
        <v>16</v>
      </c>
      <c r="I12" s="7">
        <f>VLOOKUP(H12,Sheet4!A:B,2,0)</f>
        <v>10</v>
      </c>
      <c r="J12" s="7">
        <v>0</v>
      </c>
      <c r="K12" s="7">
        <v>1.59</v>
      </c>
      <c r="L12" s="7">
        <v>23.61</v>
      </c>
      <c r="M12" s="7" t="s">
        <v>16</v>
      </c>
      <c r="N12" s="7">
        <f>VLOOKUP(M12,Sheet4!A:B,2,0)</f>
        <v>10</v>
      </c>
      <c r="O12" s="7">
        <v>0</v>
      </c>
      <c r="P12" s="7">
        <v>3.8</v>
      </c>
    </row>
    <row r="13" ht="15.3" spans="1:16">
      <c r="A13" s="12">
        <v>10.01</v>
      </c>
      <c r="B13" s="20">
        <v>24</v>
      </c>
      <c r="C13" s="14">
        <v>1</v>
      </c>
      <c r="D13" s="15">
        <v>765</v>
      </c>
      <c r="E13" s="14">
        <v>1373</v>
      </c>
      <c r="F13" s="19">
        <f t="shared" si="0"/>
        <v>2138</v>
      </c>
      <c r="G13" s="7">
        <v>22.9</v>
      </c>
      <c r="H13" s="7" t="s">
        <v>16</v>
      </c>
      <c r="I13" s="7">
        <f>VLOOKUP(H13,Sheet4!A:B,2,0)</f>
        <v>10</v>
      </c>
      <c r="J13" s="7">
        <v>0</v>
      </c>
      <c r="K13" s="7">
        <v>2.59</v>
      </c>
      <c r="L13" s="7">
        <v>21.71</v>
      </c>
      <c r="M13" s="7" t="s">
        <v>17</v>
      </c>
      <c r="N13" s="7">
        <f>VLOOKUP(M13,Sheet4!A:B,2,0)</f>
        <v>5</v>
      </c>
      <c r="O13" s="7">
        <v>0.4</v>
      </c>
      <c r="P13" s="7">
        <v>5.17</v>
      </c>
    </row>
    <row r="14" ht="15.3" spans="1:16">
      <c r="A14" s="12">
        <v>10.02</v>
      </c>
      <c r="B14" s="18">
        <v>2</v>
      </c>
      <c r="C14" s="14">
        <v>1</v>
      </c>
      <c r="D14" s="15">
        <v>603</v>
      </c>
      <c r="E14" s="14">
        <v>916</v>
      </c>
      <c r="F14" s="19">
        <f t="shared" si="0"/>
        <v>1519</v>
      </c>
      <c r="G14" s="7">
        <v>22.95</v>
      </c>
      <c r="H14" s="7" t="s">
        <v>16</v>
      </c>
      <c r="I14" s="7">
        <f>VLOOKUP(H14,Sheet4!A:B,2,0)</f>
        <v>10</v>
      </c>
      <c r="J14" s="7">
        <v>0</v>
      </c>
      <c r="K14" s="7">
        <v>2.43</v>
      </c>
      <c r="L14" s="7">
        <v>19.31</v>
      </c>
      <c r="M14" s="7" t="s">
        <v>17</v>
      </c>
      <c r="N14" s="7">
        <f>VLOOKUP(M14,Sheet4!A:B,2,0)</f>
        <v>5</v>
      </c>
      <c r="O14" s="7">
        <v>0.7</v>
      </c>
      <c r="P14" s="7">
        <v>4.79</v>
      </c>
    </row>
    <row r="15" ht="15.3" spans="1:16">
      <c r="A15" s="12">
        <v>10.02</v>
      </c>
      <c r="B15" s="18">
        <v>4</v>
      </c>
      <c r="C15" s="14">
        <v>1</v>
      </c>
      <c r="D15" s="15">
        <v>508</v>
      </c>
      <c r="E15" s="14">
        <v>757</v>
      </c>
      <c r="F15" s="19">
        <f t="shared" si="0"/>
        <v>1265</v>
      </c>
      <c r="G15" s="7">
        <v>23.05</v>
      </c>
      <c r="H15" s="7" t="s">
        <v>16</v>
      </c>
      <c r="I15" s="7">
        <f>VLOOKUP(H15,Sheet4!A:B,2,0)</f>
        <v>10</v>
      </c>
      <c r="J15" s="7">
        <v>0</v>
      </c>
      <c r="K15" s="7">
        <v>2.83</v>
      </c>
      <c r="L15" s="7">
        <v>17.66</v>
      </c>
      <c r="M15" s="7" t="s">
        <v>17</v>
      </c>
      <c r="N15" s="7">
        <f>VLOOKUP(M15,Sheet4!A:B,2,0)</f>
        <v>5</v>
      </c>
      <c r="O15" s="7">
        <v>1.1</v>
      </c>
      <c r="P15" s="7">
        <v>2.92</v>
      </c>
    </row>
    <row r="16" ht="15.3" spans="1:16">
      <c r="A16" s="12">
        <v>10.02</v>
      </c>
      <c r="B16" s="18">
        <v>6</v>
      </c>
      <c r="C16" s="14">
        <v>1</v>
      </c>
      <c r="D16" s="15">
        <v>510</v>
      </c>
      <c r="E16" s="14">
        <v>1065</v>
      </c>
      <c r="F16" s="19">
        <f t="shared" si="0"/>
        <v>1575</v>
      </c>
      <c r="G16" s="7">
        <v>23.35</v>
      </c>
      <c r="H16" s="7" t="s">
        <v>16</v>
      </c>
      <c r="I16" s="7">
        <f>VLOOKUP(H16,Sheet4!A:B,2,0)</f>
        <v>10</v>
      </c>
      <c r="J16" s="7">
        <v>0</v>
      </c>
      <c r="K16" s="7">
        <v>7.9</v>
      </c>
      <c r="L16" s="7">
        <v>17.36</v>
      </c>
      <c r="M16" s="7" t="s">
        <v>16</v>
      </c>
      <c r="N16" s="7">
        <f>VLOOKUP(M16,Sheet4!A:B,2,0)</f>
        <v>10</v>
      </c>
      <c r="O16" s="7">
        <v>0.3</v>
      </c>
      <c r="P16" s="7">
        <v>2.22</v>
      </c>
    </row>
    <row r="17" ht="15.3" spans="1:16">
      <c r="A17" s="12">
        <v>10.02</v>
      </c>
      <c r="B17" s="18">
        <v>8</v>
      </c>
      <c r="C17" s="14">
        <v>1</v>
      </c>
      <c r="D17" s="15">
        <v>1209</v>
      </c>
      <c r="E17" s="14">
        <v>1994</v>
      </c>
      <c r="F17" s="19">
        <f t="shared" si="0"/>
        <v>3203</v>
      </c>
      <c r="G17" s="7">
        <v>23.2</v>
      </c>
      <c r="H17" s="7" t="s">
        <v>16</v>
      </c>
      <c r="I17" s="7">
        <f>VLOOKUP(H17,Sheet4!A:B,2,0)</f>
        <v>10</v>
      </c>
      <c r="J17" s="7">
        <v>0</v>
      </c>
      <c r="K17" s="7">
        <v>6.39</v>
      </c>
      <c r="L17" s="7">
        <v>17.36</v>
      </c>
      <c r="M17" s="7" t="s">
        <v>16</v>
      </c>
      <c r="N17" s="7">
        <f>VLOOKUP(M17,Sheet4!A:B,2,0)</f>
        <v>10</v>
      </c>
      <c r="O17" s="7">
        <v>0.1</v>
      </c>
      <c r="P17" s="7">
        <v>1.98</v>
      </c>
    </row>
    <row r="18" ht="15.3" spans="1:16">
      <c r="A18" s="12">
        <v>10.02</v>
      </c>
      <c r="B18" s="18">
        <v>10</v>
      </c>
      <c r="C18" s="14">
        <v>1</v>
      </c>
      <c r="D18" s="15">
        <v>2135</v>
      </c>
      <c r="E18" s="14">
        <v>2855</v>
      </c>
      <c r="F18" s="19">
        <f t="shared" si="0"/>
        <v>4990</v>
      </c>
      <c r="G18" s="7">
        <v>22.25</v>
      </c>
      <c r="H18" s="7" t="s">
        <v>16</v>
      </c>
      <c r="I18" s="7">
        <f>VLOOKUP(H18,Sheet4!A:B,2,0)</f>
        <v>10</v>
      </c>
      <c r="J18" s="7">
        <v>0</v>
      </c>
      <c r="K18" s="7">
        <v>3.88</v>
      </c>
      <c r="L18" s="7">
        <v>18.11</v>
      </c>
      <c r="M18" s="7" t="s">
        <v>16</v>
      </c>
      <c r="N18" s="7">
        <f>VLOOKUP(M18,Sheet4!A:B,2,0)</f>
        <v>10</v>
      </c>
      <c r="O18" s="7">
        <v>0.1</v>
      </c>
      <c r="P18" s="7">
        <v>4.44</v>
      </c>
    </row>
    <row r="19" ht="15.3" spans="1:16">
      <c r="A19" s="12">
        <v>10.02</v>
      </c>
      <c r="B19" s="18">
        <v>12</v>
      </c>
      <c r="C19" s="14">
        <v>1</v>
      </c>
      <c r="D19" s="15">
        <v>3109</v>
      </c>
      <c r="E19" s="14">
        <v>3251</v>
      </c>
      <c r="F19" s="19">
        <f t="shared" si="0"/>
        <v>6360</v>
      </c>
      <c r="G19" s="7">
        <v>22.2</v>
      </c>
      <c r="H19" s="7" t="s">
        <v>16</v>
      </c>
      <c r="I19" s="7">
        <f>VLOOKUP(H19,Sheet4!A:B,2,0)</f>
        <v>10</v>
      </c>
      <c r="J19" s="7">
        <v>0</v>
      </c>
      <c r="K19" s="7">
        <v>3.57</v>
      </c>
      <c r="L19" s="7">
        <v>18.11</v>
      </c>
      <c r="M19" s="7" t="s">
        <v>17</v>
      </c>
      <c r="N19" s="7">
        <f>VLOOKUP(M19,Sheet4!A:B,2,0)</f>
        <v>5</v>
      </c>
      <c r="O19" s="7">
        <v>0.8</v>
      </c>
      <c r="P19" s="7">
        <v>3.86</v>
      </c>
    </row>
    <row r="20" ht="15.3" spans="1:16">
      <c r="A20" s="12">
        <v>10.02</v>
      </c>
      <c r="B20" s="18">
        <v>14</v>
      </c>
      <c r="C20" s="14">
        <v>1</v>
      </c>
      <c r="D20" s="15">
        <v>2933</v>
      </c>
      <c r="E20" s="14">
        <v>3003</v>
      </c>
      <c r="F20" s="19">
        <f t="shared" si="0"/>
        <v>5936</v>
      </c>
      <c r="G20" s="7">
        <v>22.05</v>
      </c>
      <c r="H20" s="7" t="s">
        <v>16</v>
      </c>
      <c r="I20" s="7">
        <f>VLOOKUP(H20,Sheet4!A:B,2,0)</f>
        <v>10</v>
      </c>
      <c r="J20" s="7">
        <v>0</v>
      </c>
      <c r="K20" s="7">
        <v>3.23</v>
      </c>
      <c r="L20" s="7">
        <v>19.31</v>
      </c>
      <c r="M20" s="7" t="s">
        <v>16</v>
      </c>
      <c r="N20" s="7">
        <f>VLOOKUP(M20,Sheet4!A:B,2,0)</f>
        <v>10</v>
      </c>
      <c r="O20" s="7">
        <v>0</v>
      </c>
      <c r="P20" s="7">
        <v>3.98</v>
      </c>
    </row>
    <row r="21" ht="15.3" spans="1:16">
      <c r="A21" s="12">
        <v>10.02</v>
      </c>
      <c r="B21" s="18">
        <v>16</v>
      </c>
      <c r="C21" s="14">
        <v>1</v>
      </c>
      <c r="D21" s="15">
        <v>3445</v>
      </c>
      <c r="E21" s="14">
        <v>3367</v>
      </c>
      <c r="F21" s="19">
        <f t="shared" si="0"/>
        <v>6812</v>
      </c>
      <c r="G21" s="7">
        <v>21.7</v>
      </c>
      <c r="H21" s="7" t="s">
        <v>16</v>
      </c>
      <c r="I21" s="7">
        <f>VLOOKUP(H21,Sheet4!A:B,2,0)</f>
        <v>10</v>
      </c>
      <c r="J21" s="7">
        <v>0</v>
      </c>
      <c r="K21" s="7">
        <v>2.68</v>
      </c>
      <c r="L21" s="7">
        <v>19.21</v>
      </c>
      <c r="M21" s="7" t="s">
        <v>16</v>
      </c>
      <c r="N21" s="7">
        <f>VLOOKUP(M21,Sheet4!A:B,2,0)</f>
        <v>10</v>
      </c>
      <c r="O21" s="7">
        <v>0</v>
      </c>
      <c r="P21" s="7">
        <v>3.85</v>
      </c>
    </row>
    <row r="22" ht="15.3" spans="1:16">
      <c r="A22" s="12">
        <v>10.02</v>
      </c>
      <c r="B22" s="18">
        <v>18</v>
      </c>
      <c r="C22" s="14">
        <v>1</v>
      </c>
      <c r="D22" s="15">
        <v>2222</v>
      </c>
      <c r="E22" s="14">
        <v>2668</v>
      </c>
      <c r="F22" s="19">
        <f t="shared" si="0"/>
        <v>4890</v>
      </c>
      <c r="G22" s="7">
        <v>21.65</v>
      </c>
      <c r="H22" s="7" t="s">
        <v>16</v>
      </c>
      <c r="I22" s="7">
        <f>VLOOKUP(H22,Sheet4!A:B,2,0)</f>
        <v>10</v>
      </c>
      <c r="J22" s="7">
        <v>0</v>
      </c>
      <c r="K22" s="7">
        <v>0.43</v>
      </c>
      <c r="L22" s="7">
        <v>18.86</v>
      </c>
      <c r="M22" s="7" t="s">
        <v>16</v>
      </c>
      <c r="N22" s="7">
        <f>VLOOKUP(M22,Sheet4!A:B,2,0)</f>
        <v>10</v>
      </c>
      <c r="O22" s="7">
        <v>0</v>
      </c>
      <c r="P22" s="7">
        <v>3.31</v>
      </c>
    </row>
    <row r="23" ht="15.3" spans="1:16">
      <c r="A23" s="12">
        <v>10.02</v>
      </c>
      <c r="B23" s="18">
        <v>20</v>
      </c>
      <c r="C23" s="14">
        <v>1</v>
      </c>
      <c r="D23" s="15">
        <v>1345</v>
      </c>
      <c r="E23" s="14">
        <v>1945</v>
      </c>
      <c r="F23" s="19">
        <f t="shared" si="0"/>
        <v>3290</v>
      </c>
      <c r="G23" s="7">
        <v>21.95</v>
      </c>
      <c r="H23" s="7" t="s">
        <v>16</v>
      </c>
      <c r="I23" s="7">
        <f>VLOOKUP(H23,Sheet4!A:B,2,0)</f>
        <v>10</v>
      </c>
      <c r="J23" s="7">
        <v>0</v>
      </c>
      <c r="K23" s="7">
        <v>2.74</v>
      </c>
      <c r="L23" s="7">
        <v>18.66</v>
      </c>
      <c r="M23" s="7" t="s">
        <v>16</v>
      </c>
      <c r="N23" s="7">
        <f>VLOOKUP(M23,Sheet4!A:B,2,0)</f>
        <v>10</v>
      </c>
      <c r="O23" s="7">
        <v>0</v>
      </c>
      <c r="P23" s="7">
        <v>2.75</v>
      </c>
    </row>
    <row r="24" ht="15.3" spans="1:16">
      <c r="A24" s="12">
        <v>10.02</v>
      </c>
      <c r="B24" s="18">
        <v>22</v>
      </c>
      <c r="C24" s="14">
        <v>1</v>
      </c>
      <c r="D24" s="15">
        <v>901</v>
      </c>
      <c r="E24" s="14">
        <v>1496</v>
      </c>
      <c r="F24" s="19">
        <f t="shared" si="0"/>
        <v>2397</v>
      </c>
      <c r="G24" s="7">
        <v>22.55</v>
      </c>
      <c r="H24" s="7" t="s">
        <v>16</v>
      </c>
      <c r="I24" s="7">
        <f>VLOOKUP(H24,Sheet4!A:B,2,0)</f>
        <v>10</v>
      </c>
      <c r="J24" s="7">
        <v>0</v>
      </c>
      <c r="K24" s="7">
        <v>6.4</v>
      </c>
      <c r="L24" s="7">
        <v>18.26</v>
      </c>
      <c r="M24" s="7" t="s">
        <v>18</v>
      </c>
      <c r="N24" s="7">
        <f>VLOOKUP(M24,Sheet4!A:B,2,0)</f>
        <v>6</v>
      </c>
      <c r="O24" s="7">
        <v>0</v>
      </c>
      <c r="P24" s="7">
        <v>3.11</v>
      </c>
    </row>
    <row r="25" ht="15.3" spans="1:16">
      <c r="A25" s="12">
        <v>10.02</v>
      </c>
      <c r="B25" s="20">
        <v>24</v>
      </c>
      <c r="C25" s="14">
        <v>1</v>
      </c>
      <c r="D25" s="15">
        <v>777</v>
      </c>
      <c r="E25" s="14">
        <v>974</v>
      </c>
      <c r="F25" s="19">
        <f t="shared" si="0"/>
        <v>1751</v>
      </c>
      <c r="G25" s="7">
        <v>22.15</v>
      </c>
      <c r="H25" s="7" t="s">
        <v>16</v>
      </c>
      <c r="I25" s="7">
        <f>VLOOKUP(H25,Sheet4!A:B,2,0)</f>
        <v>10</v>
      </c>
      <c r="J25" s="7">
        <v>0</v>
      </c>
      <c r="K25" s="7">
        <v>6.71</v>
      </c>
      <c r="L25" s="7">
        <v>18.36</v>
      </c>
      <c r="M25" s="7" t="s">
        <v>16</v>
      </c>
      <c r="N25" s="7">
        <f>VLOOKUP(M25,Sheet4!A:B,2,0)</f>
        <v>10</v>
      </c>
      <c r="O25" s="7">
        <v>0.1</v>
      </c>
      <c r="P25" s="7">
        <v>2.67</v>
      </c>
    </row>
    <row r="26" ht="15.3" spans="1:16">
      <c r="A26" s="12">
        <v>10.03</v>
      </c>
      <c r="B26" s="18">
        <v>2</v>
      </c>
      <c r="C26" s="14">
        <v>1</v>
      </c>
      <c r="D26" s="15">
        <v>535</v>
      </c>
      <c r="E26" s="14">
        <v>617</v>
      </c>
      <c r="F26" s="19">
        <f t="shared" si="0"/>
        <v>1152</v>
      </c>
      <c r="G26" s="7">
        <v>22.15</v>
      </c>
      <c r="H26" s="7" t="s">
        <v>16</v>
      </c>
      <c r="I26" s="7">
        <f>VLOOKUP(H26,Sheet4!A:B,2,0)</f>
        <v>10</v>
      </c>
      <c r="J26" s="7">
        <v>0</v>
      </c>
      <c r="K26" s="7">
        <v>5.77</v>
      </c>
      <c r="L26" s="7">
        <v>18.31</v>
      </c>
      <c r="M26" s="7" t="s">
        <v>16</v>
      </c>
      <c r="N26" s="7">
        <f>VLOOKUP(M26,Sheet4!A:B,2,0)</f>
        <v>10</v>
      </c>
      <c r="O26" s="7">
        <v>0</v>
      </c>
      <c r="P26" s="7">
        <v>2.39</v>
      </c>
    </row>
    <row r="27" ht="15.3" spans="1:16">
      <c r="A27" s="12">
        <v>10.03</v>
      </c>
      <c r="B27" s="18">
        <v>4</v>
      </c>
      <c r="C27" s="14">
        <v>1</v>
      </c>
      <c r="D27" s="15">
        <v>387</v>
      </c>
      <c r="E27" s="14">
        <v>498</v>
      </c>
      <c r="F27" s="19">
        <f t="shared" si="0"/>
        <v>885</v>
      </c>
      <c r="G27" s="7">
        <v>20.4</v>
      </c>
      <c r="H27" s="7" t="s">
        <v>16</v>
      </c>
      <c r="I27" s="7">
        <f>VLOOKUP(H27,Sheet4!A:B,2,0)</f>
        <v>10</v>
      </c>
      <c r="J27" s="7">
        <v>0.1</v>
      </c>
      <c r="K27" s="7">
        <v>5.5</v>
      </c>
      <c r="L27" s="7">
        <v>18.46</v>
      </c>
      <c r="M27" s="7" t="s">
        <v>16</v>
      </c>
      <c r="N27" s="7">
        <f>VLOOKUP(M27,Sheet4!A:B,2,0)</f>
        <v>10</v>
      </c>
      <c r="O27" s="7">
        <v>0</v>
      </c>
      <c r="P27" s="7">
        <v>1.82</v>
      </c>
    </row>
    <row r="28" ht="15.3" spans="1:16">
      <c r="A28" s="12">
        <v>10.03</v>
      </c>
      <c r="B28" s="18">
        <v>6</v>
      </c>
      <c r="C28" s="14">
        <v>1</v>
      </c>
      <c r="D28" s="15">
        <v>513</v>
      </c>
      <c r="E28" s="14">
        <v>678</v>
      </c>
      <c r="F28" s="19">
        <f t="shared" si="0"/>
        <v>1191</v>
      </c>
      <c r="G28" s="7">
        <v>19.65</v>
      </c>
      <c r="H28" s="7" t="s">
        <v>17</v>
      </c>
      <c r="I28" s="7">
        <f>VLOOKUP(H28,Sheet4!A:B,2,0)</f>
        <v>5</v>
      </c>
      <c r="J28" s="7">
        <v>0.5</v>
      </c>
      <c r="K28" s="7">
        <v>3.23</v>
      </c>
      <c r="L28" s="7">
        <v>18.16</v>
      </c>
      <c r="M28" s="7" t="s">
        <v>16</v>
      </c>
      <c r="N28" s="7">
        <f>VLOOKUP(M28,Sheet4!A:B,2,0)</f>
        <v>10</v>
      </c>
      <c r="O28" s="7">
        <v>0</v>
      </c>
      <c r="P28" s="7">
        <v>2.27</v>
      </c>
    </row>
    <row r="29" ht="15.3" spans="1:16">
      <c r="A29" s="12">
        <v>10.03</v>
      </c>
      <c r="B29" s="18">
        <v>8</v>
      </c>
      <c r="C29" s="14">
        <v>1</v>
      </c>
      <c r="D29" s="15">
        <v>1049</v>
      </c>
      <c r="E29" s="14">
        <v>1435</v>
      </c>
      <c r="F29" s="19">
        <f t="shared" si="0"/>
        <v>2484</v>
      </c>
      <c r="G29" s="7">
        <v>21.35</v>
      </c>
      <c r="H29" s="7" t="s">
        <v>16</v>
      </c>
      <c r="I29" s="7">
        <f>VLOOKUP(H29,Sheet4!A:B,2,0)</f>
        <v>10</v>
      </c>
      <c r="J29" s="7">
        <v>0</v>
      </c>
      <c r="K29" s="7">
        <v>2.97</v>
      </c>
      <c r="L29" s="7">
        <v>18.36</v>
      </c>
      <c r="M29" s="7" t="s">
        <v>16</v>
      </c>
      <c r="N29" s="7">
        <f>VLOOKUP(M29,Sheet4!A:B,2,0)</f>
        <v>10</v>
      </c>
      <c r="O29" s="7">
        <v>0</v>
      </c>
      <c r="P29" s="7">
        <v>1.73</v>
      </c>
    </row>
    <row r="30" ht="15.3" spans="1:16">
      <c r="A30" s="12">
        <v>10.03</v>
      </c>
      <c r="B30" s="18">
        <v>10</v>
      </c>
      <c r="C30" s="14">
        <v>1</v>
      </c>
      <c r="D30" s="15">
        <v>1995</v>
      </c>
      <c r="E30" s="14">
        <v>2345</v>
      </c>
      <c r="F30" s="19">
        <f t="shared" si="0"/>
        <v>4340</v>
      </c>
      <c r="G30" s="7">
        <v>21.8</v>
      </c>
      <c r="H30" s="7" t="s">
        <v>16</v>
      </c>
      <c r="I30" s="7">
        <f>VLOOKUP(H30,Sheet4!A:B,2,0)</f>
        <v>10</v>
      </c>
      <c r="J30" s="7">
        <v>0</v>
      </c>
      <c r="K30" s="7">
        <v>4.32</v>
      </c>
      <c r="L30" s="7">
        <v>19.86</v>
      </c>
      <c r="M30" s="7" t="s">
        <v>16</v>
      </c>
      <c r="N30" s="7">
        <f>VLOOKUP(M30,Sheet4!A:B,2,0)</f>
        <v>10</v>
      </c>
      <c r="O30" s="7">
        <v>0</v>
      </c>
      <c r="P30" s="7">
        <v>1.82</v>
      </c>
    </row>
    <row r="31" ht="15.3" spans="1:16">
      <c r="A31" s="12">
        <v>10.03</v>
      </c>
      <c r="B31" s="18">
        <v>12</v>
      </c>
      <c r="C31" s="14">
        <v>1</v>
      </c>
      <c r="D31" s="15">
        <v>2468</v>
      </c>
      <c r="E31" s="14">
        <v>3112</v>
      </c>
      <c r="F31" s="19">
        <f t="shared" si="0"/>
        <v>5580</v>
      </c>
      <c r="G31" s="7">
        <v>21.9</v>
      </c>
      <c r="H31" s="7" t="s">
        <v>16</v>
      </c>
      <c r="I31" s="7">
        <f>VLOOKUP(H31,Sheet4!A:B,2,0)</f>
        <v>10</v>
      </c>
      <c r="J31" s="7">
        <v>0</v>
      </c>
      <c r="K31" s="7">
        <v>3.11</v>
      </c>
      <c r="L31" s="7">
        <v>22.21</v>
      </c>
      <c r="M31" s="7" t="s">
        <v>18</v>
      </c>
      <c r="N31" s="7">
        <f>VLOOKUP(M31,Sheet4!A:B,2,0)</f>
        <v>6</v>
      </c>
      <c r="O31" s="7">
        <v>0.1</v>
      </c>
      <c r="P31" s="7">
        <v>2.12</v>
      </c>
    </row>
    <row r="32" ht="15.3" spans="1:16">
      <c r="A32" s="12">
        <v>10.03</v>
      </c>
      <c r="B32" s="18">
        <v>14</v>
      </c>
      <c r="C32" s="14">
        <v>1</v>
      </c>
      <c r="D32" s="15">
        <v>2311</v>
      </c>
      <c r="E32" s="14">
        <v>2841</v>
      </c>
      <c r="F32" s="19">
        <f t="shared" si="0"/>
        <v>5152</v>
      </c>
      <c r="G32" s="7">
        <v>21.95</v>
      </c>
      <c r="H32" s="7" t="s">
        <v>16</v>
      </c>
      <c r="I32" s="7">
        <f>VLOOKUP(H32,Sheet4!A:B,2,0)</f>
        <v>10</v>
      </c>
      <c r="J32" s="7">
        <v>0</v>
      </c>
      <c r="K32" s="7">
        <v>4.88</v>
      </c>
      <c r="L32" s="7">
        <v>23.21</v>
      </c>
      <c r="M32" s="7" t="s">
        <v>19</v>
      </c>
      <c r="N32" s="7">
        <f>VLOOKUP(M32,Sheet4!A:B,2,0)</f>
        <v>8</v>
      </c>
      <c r="O32" s="7">
        <v>0</v>
      </c>
      <c r="P32" s="7">
        <v>2.41</v>
      </c>
    </row>
    <row r="33" ht="15.3" spans="1:16">
      <c r="A33" s="12">
        <v>10.03</v>
      </c>
      <c r="B33" s="18">
        <v>16</v>
      </c>
      <c r="C33" s="14">
        <v>1</v>
      </c>
      <c r="D33" s="15">
        <v>2227</v>
      </c>
      <c r="E33" s="14">
        <v>3306</v>
      </c>
      <c r="F33" s="19">
        <f t="shared" si="0"/>
        <v>5533</v>
      </c>
      <c r="G33" s="7">
        <v>21.7</v>
      </c>
      <c r="H33" s="7" t="s">
        <v>16</v>
      </c>
      <c r="I33" s="7">
        <f>VLOOKUP(H33,Sheet4!A:B,2,0)</f>
        <v>10</v>
      </c>
      <c r="J33" s="7">
        <v>0</v>
      </c>
      <c r="K33" s="7">
        <v>6.39</v>
      </c>
      <c r="L33" s="7">
        <v>22.61</v>
      </c>
      <c r="M33" s="7" t="s">
        <v>16</v>
      </c>
      <c r="N33" s="7">
        <f>VLOOKUP(M33,Sheet4!A:B,2,0)</f>
        <v>10</v>
      </c>
      <c r="O33" s="7">
        <v>0</v>
      </c>
      <c r="P33" s="7">
        <v>2.51</v>
      </c>
    </row>
    <row r="34" ht="15.3" spans="1:16">
      <c r="A34" s="12">
        <v>10.03</v>
      </c>
      <c r="B34" s="18">
        <v>18</v>
      </c>
      <c r="C34" s="14">
        <v>1</v>
      </c>
      <c r="D34" s="15">
        <v>1937</v>
      </c>
      <c r="E34" s="14">
        <v>3121</v>
      </c>
      <c r="F34" s="19">
        <f t="shared" si="0"/>
        <v>5058</v>
      </c>
      <c r="G34" s="7">
        <v>21.95</v>
      </c>
      <c r="H34" s="7" t="s">
        <v>16</v>
      </c>
      <c r="I34" s="7">
        <f>VLOOKUP(H34,Sheet4!A:B,2,0)</f>
        <v>10</v>
      </c>
      <c r="J34" s="7">
        <v>0</v>
      </c>
      <c r="K34" s="7">
        <v>5.62</v>
      </c>
      <c r="L34" s="7">
        <v>21.26</v>
      </c>
      <c r="M34" s="7" t="s">
        <v>16</v>
      </c>
      <c r="N34" s="7">
        <f>VLOOKUP(M34,Sheet4!A:B,2,0)</f>
        <v>10</v>
      </c>
      <c r="O34" s="7">
        <v>0</v>
      </c>
      <c r="P34" s="7">
        <v>2.18</v>
      </c>
    </row>
    <row r="35" ht="15.3" spans="1:16">
      <c r="A35" s="12">
        <v>10.03</v>
      </c>
      <c r="B35" s="18">
        <v>20</v>
      </c>
      <c r="C35" s="14">
        <v>1</v>
      </c>
      <c r="D35" s="15">
        <v>1401</v>
      </c>
      <c r="E35" s="14">
        <v>2291</v>
      </c>
      <c r="F35" s="19">
        <f t="shared" si="0"/>
        <v>3692</v>
      </c>
      <c r="G35" s="7">
        <v>21.95</v>
      </c>
      <c r="H35" s="7" t="s">
        <v>16</v>
      </c>
      <c r="I35" s="7">
        <f>VLOOKUP(H35,Sheet4!A:B,2,0)</f>
        <v>10</v>
      </c>
      <c r="J35" s="7">
        <v>0</v>
      </c>
      <c r="K35" s="7">
        <v>3.81</v>
      </c>
      <c r="L35" s="7">
        <v>19.46</v>
      </c>
      <c r="M35" s="7" t="s">
        <v>16</v>
      </c>
      <c r="N35" s="7">
        <f>VLOOKUP(M35,Sheet4!A:B,2,0)</f>
        <v>10</v>
      </c>
      <c r="O35" s="7">
        <v>0</v>
      </c>
      <c r="P35" s="7">
        <v>0.54</v>
      </c>
    </row>
    <row r="36" ht="15.3" spans="1:16">
      <c r="A36" s="12">
        <v>10.03</v>
      </c>
      <c r="B36" s="18">
        <v>22</v>
      </c>
      <c r="C36" s="14">
        <v>1</v>
      </c>
      <c r="D36" s="15">
        <v>1005</v>
      </c>
      <c r="E36" s="14">
        <v>1961</v>
      </c>
      <c r="F36" s="19">
        <f t="shared" si="0"/>
        <v>2966</v>
      </c>
      <c r="G36" s="7">
        <v>22</v>
      </c>
      <c r="H36" s="7" t="s">
        <v>16</v>
      </c>
      <c r="I36" s="7">
        <f>VLOOKUP(H36,Sheet4!A:B,2,0)</f>
        <v>10</v>
      </c>
      <c r="J36" s="7">
        <v>0</v>
      </c>
      <c r="K36" s="7">
        <v>3.8</v>
      </c>
      <c r="L36" s="7">
        <v>19.26</v>
      </c>
      <c r="M36" s="7" t="s">
        <v>16</v>
      </c>
      <c r="N36" s="7">
        <f>VLOOKUP(M36,Sheet4!A:B,2,0)</f>
        <v>10</v>
      </c>
      <c r="O36" s="7">
        <v>0</v>
      </c>
      <c r="P36" s="7">
        <v>1.63</v>
      </c>
    </row>
    <row r="37" ht="15.3" spans="1:16">
      <c r="A37" s="12">
        <v>10.03</v>
      </c>
      <c r="B37" s="20">
        <v>24</v>
      </c>
      <c r="C37" s="14">
        <v>1</v>
      </c>
      <c r="D37" s="15">
        <v>810</v>
      </c>
      <c r="E37" s="14">
        <v>1245</v>
      </c>
      <c r="F37" s="19">
        <f t="shared" si="0"/>
        <v>2055</v>
      </c>
      <c r="G37" s="7">
        <v>22.1</v>
      </c>
      <c r="H37" s="7" t="s">
        <v>16</v>
      </c>
      <c r="I37" s="7">
        <f>VLOOKUP(H37,Sheet4!A:B,2,0)</f>
        <v>10</v>
      </c>
      <c r="J37" s="7">
        <v>0</v>
      </c>
      <c r="K37" s="7">
        <v>1.42</v>
      </c>
      <c r="L37" s="7">
        <v>18.21</v>
      </c>
      <c r="M37" s="7" t="s">
        <v>16</v>
      </c>
      <c r="N37" s="7">
        <f>VLOOKUP(M37,Sheet4!A:B,2,0)</f>
        <v>10</v>
      </c>
      <c r="O37" s="7">
        <v>0</v>
      </c>
      <c r="P37" s="7">
        <v>1.22</v>
      </c>
    </row>
    <row r="38" ht="15.3" spans="1:16">
      <c r="A38" s="12">
        <v>10.04</v>
      </c>
      <c r="B38" s="18">
        <v>2</v>
      </c>
      <c r="C38" s="14">
        <v>1</v>
      </c>
      <c r="D38" s="15">
        <v>634</v>
      </c>
      <c r="E38" s="14">
        <v>681</v>
      </c>
      <c r="F38" s="19">
        <f t="shared" si="0"/>
        <v>1315</v>
      </c>
      <c r="G38" s="7">
        <v>21.65</v>
      </c>
      <c r="H38" s="7" t="s">
        <v>16</v>
      </c>
      <c r="I38" s="7">
        <f>VLOOKUP(H38,Sheet4!A:B,2,0)</f>
        <v>10</v>
      </c>
      <c r="J38" s="7">
        <v>0</v>
      </c>
      <c r="K38" s="7">
        <v>2.55</v>
      </c>
      <c r="L38" s="7">
        <v>17.71</v>
      </c>
      <c r="M38" s="7" t="s">
        <v>16</v>
      </c>
      <c r="N38" s="7">
        <f>VLOOKUP(M38,Sheet4!A:B,2,0)</f>
        <v>10</v>
      </c>
      <c r="O38" s="7">
        <v>0</v>
      </c>
      <c r="P38" s="7">
        <v>1.46</v>
      </c>
    </row>
    <row r="39" ht="15.3" spans="1:16">
      <c r="A39" s="12">
        <v>10.04</v>
      </c>
      <c r="B39" s="18">
        <v>4</v>
      </c>
      <c r="C39" s="14">
        <v>1</v>
      </c>
      <c r="D39" s="15">
        <v>439</v>
      </c>
      <c r="E39" s="14">
        <v>490</v>
      </c>
      <c r="F39" s="19">
        <f t="shared" si="0"/>
        <v>929</v>
      </c>
      <c r="G39" s="7">
        <v>21.2</v>
      </c>
      <c r="H39" s="7" t="s">
        <v>16</v>
      </c>
      <c r="I39" s="7">
        <f>VLOOKUP(H39,Sheet4!A:B,2,0)</f>
        <v>10</v>
      </c>
      <c r="J39" s="7">
        <v>0</v>
      </c>
      <c r="K39" s="7">
        <v>4.11</v>
      </c>
      <c r="L39" s="7">
        <v>17.41</v>
      </c>
      <c r="M39" s="7" t="s">
        <v>16</v>
      </c>
      <c r="N39" s="7">
        <f>VLOOKUP(M39,Sheet4!A:B,2,0)</f>
        <v>10</v>
      </c>
      <c r="O39" s="7">
        <v>0</v>
      </c>
      <c r="P39" s="7">
        <v>0.96</v>
      </c>
    </row>
    <row r="40" ht="15.3" spans="1:16">
      <c r="A40" s="12">
        <v>10.04</v>
      </c>
      <c r="B40" s="18">
        <v>6</v>
      </c>
      <c r="C40" s="14">
        <v>1</v>
      </c>
      <c r="D40" s="15">
        <v>531</v>
      </c>
      <c r="E40" s="14">
        <v>651</v>
      </c>
      <c r="F40" s="19">
        <f t="shared" si="0"/>
        <v>1182</v>
      </c>
      <c r="G40" s="7">
        <v>20.85</v>
      </c>
      <c r="H40" s="7" t="s">
        <v>16</v>
      </c>
      <c r="I40" s="7">
        <f>VLOOKUP(H40,Sheet4!A:B,2,0)</f>
        <v>10</v>
      </c>
      <c r="J40" s="7">
        <v>0</v>
      </c>
      <c r="K40" s="7">
        <v>3.32</v>
      </c>
      <c r="L40" s="7">
        <v>16.91</v>
      </c>
      <c r="M40" s="7" t="s">
        <v>16</v>
      </c>
      <c r="N40" s="7">
        <f>VLOOKUP(M40,Sheet4!A:B,2,0)</f>
        <v>10</v>
      </c>
      <c r="O40" s="7">
        <v>0</v>
      </c>
      <c r="P40" s="7">
        <v>0.78</v>
      </c>
    </row>
    <row r="41" ht="15.3" spans="1:16">
      <c r="A41" s="12">
        <v>10.04</v>
      </c>
      <c r="B41" s="18">
        <v>8</v>
      </c>
      <c r="C41" s="14">
        <v>1</v>
      </c>
      <c r="D41" s="15">
        <v>973</v>
      </c>
      <c r="E41" s="14">
        <v>1371</v>
      </c>
      <c r="F41" s="19">
        <f t="shared" si="0"/>
        <v>2344</v>
      </c>
      <c r="G41" s="7">
        <v>20.65</v>
      </c>
      <c r="H41" s="7" t="s">
        <v>16</v>
      </c>
      <c r="I41" s="7">
        <f>VLOOKUP(H41,Sheet4!A:B,2,0)</f>
        <v>10</v>
      </c>
      <c r="J41" s="7">
        <v>0</v>
      </c>
      <c r="K41" s="7">
        <v>2.98</v>
      </c>
      <c r="L41" s="7">
        <v>17.46</v>
      </c>
      <c r="M41" s="7" t="s">
        <v>16</v>
      </c>
      <c r="N41" s="7">
        <f>VLOOKUP(M41,Sheet4!A:B,2,0)</f>
        <v>10</v>
      </c>
      <c r="O41" s="7">
        <v>0</v>
      </c>
      <c r="P41" s="7">
        <v>0.96</v>
      </c>
    </row>
    <row r="42" ht="15.3" spans="1:16">
      <c r="A42" s="12">
        <v>10.04</v>
      </c>
      <c r="B42" s="18">
        <v>10</v>
      </c>
      <c r="C42" s="14">
        <v>1</v>
      </c>
      <c r="D42" s="15">
        <v>1733</v>
      </c>
      <c r="E42" s="14">
        <v>2508</v>
      </c>
      <c r="F42" s="19">
        <f t="shared" si="0"/>
        <v>4241</v>
      </c>
      <c r="G42" s="7">
        <v>20.6</v>
      </c>
      <c r="H42" s="7" t="s">
        <v>16</v>
      </c>
      <c r="I42" s="7">
        <f>VLOOKUP(H42,Sheet4!A:B,2,0)</f>
        <v>10</v>
      </c>
      <c r="J42" s="7">
        <v>0</v>
      </c>
      <c r="K42" s="7">
        <v>2.41</v>
      </c>
      <c r="L42" s="7">
        <v>21.26</v>
      </c>
      <c r="M42" s="7" t="s">
        <v>16</v>
      </c>
      <c r="N42" s="7">
        <f>VLOOKUP(M42,Sheet4!A:B,2,0)</f>
        <v>10</v>
      </c>
      <c r="O42" s="7">
        <v>0</v>
      </c>
      <c r="P42" s="7">
        <v>0.78</v>
      </c>
    </row>
    <row r="43" ht="15.3" spans="1:16">
      <c r="A43" s="12">
        <v>10.04</v>
      </c>
      <c r="B43" s="18">
        <v>12</v>
      </c>
      <c r="C43" s="14">
        <v>1</v>
      </c>
      <c r="D43" s="15">
        <v>2286</v>
      </c>
      <c r="E43" s="14">
        <v>2601</v>
      </c>
      <c r="F43" s="19">
        <f t="shared" si="0"/>
        <v>4887</v>
      </c>
      <c r="G43" s="7">
        <v>20.85</v>
      </c>
      <c r="H43" s="7" t="s">
        <v>16</v>
      </c>
      <c r="I43" s="7">
        <f>VLOOKUP(H43,Sheet4!A:B,2,0)</f>
        <v>10</v>
      </c>
      <c r="J43" s="7">
        <v>0</v>
      </c>
      <c r="K43" s="7">
        <v>2.48</v>
      </c>
      <c r="L43" s="7">
        <v>23.81</v>
      </c>
      <c r="M43" s="7" t="s">
        <v>16</v>
      </c>
      <c r="N43" s="7">
        <f>VLOOKUP(M43,Sheet4!A:B,2,0)</f>
        <v>10</v>
      </c>
      <c r="O43" s="7">
        <v>0</v>
      </c>
      <c r="P43" s="7">
        <v>0.92</v>
      </c>
    </row>
    <row r="44" ht="15.3" spans="1:16">
      <c r="A44" s="12">
        <v>10.04</v>
      </c>
      <c r="B44" s="18">
        <v>14</v>
      </c>
      <c r="C44" s="14">
        <v>1</v>
      </c>
      <c r="D44" s="15">
        <v>2049</v>
      </c>
      <c r="E44" s="14">
        <v>2143</v>
      </c>
      <c r="F44" s="19">
        <f t="shared" si="0"/>
        <v>4192</v>
      </c>
      <c r="G44" s="7">
        <v>21.55</v>
      </c>
      <c r="H44" s="7" t="s">
        <v>16</v>
      </c>
      <c r="I44" s="7">
        <f>VLOOKUP(H44,Sheet4!A:B,2,0)</f>
        <v>10</v>
      </c>
      <c r="J44" s="7">
        <v>0</v>
      </c>
      <c r="K44" s="7">
        <v>3.44</v>
      </c>
      <c r="L44" s="7">
        <v>24.81</v>
      </c>
      <c r="M44" s="7" t="s">
        <v>19</v>
      </c>
      <c r="N44" s="7">
        <f>VLOOKUP(M44,Sheet4!A:B,2,0)</f>
        <v>8</v>
      </c>
      <c r="O44" s="7">
        <v>0</v>
      </c>
      <c r="P44" s="7">
        <v>0.52</v>
      </c>
    </row>
    <row r="45" ht="15.3" spans="1:16">
      <c r="A45" s="12">
        <v>10.04</v>
      </c>
      <c r="B45" s="18">
        <v>16</v>
      </c>
      <c r="C45" s="14">
        <v>1</v>
      </c>
      <c r="D45" s="15">
        <v>2034</v>
      </c>
      <c r="E45" s="14">
        <v>4136</v>
      </c>
      <c r="F45" s="19">
        <f t="shared" si="0"/>
        <v>6170</v>
      </c>
      <c r="G45" s="7">
        <v>22</v>
      </c>
      <c r="H45" s="7" t="s">
        <v>16</v>
      </c>
      <c r="I45" s="7">
        <f>VLOOKUP(H45,Sheet4!A:B,2,0)</f>
        <v>10</v>
      </c>
      <c r="J45" s="7">
        <v>0</v>
      </c>
      <c r="K45" s="7">
        <v>3.54</v>
      </c>
      <c r="L45" s="7">
        <v>24.76</v>
      </c>
      <c r="M45" s="7" t="s">
        <v>19</v>
      </c>
      <c r="N45" s="7">
        <f>VLOOKUP(M45,Sheet4!A:B,2,0)</f>
        <v>8</v>
      </c>
      <c r="O45" s="7">
        <v>0</v>
      </c>
      <c r="P45" s="7">
        <v>0.76</v>
      </c>
    </row>
    <row r="46" ht="15.3" spans="1:16">
      <c r="A46" s="12">
        <v>10.04</v>
      </c>
      <c r="B46" s="18">
        <v>18</v>
      </c>
      <c r="C46" s="14">
        <v>1</v>
      </c>
      <c r="D46" s="15">
        <v>1989</v>
      </c>
      <c r="E46" s="14">
        <v>3651</v>
      </c>
      <c r="F46" s="19">
        <f t="shared" si="0"/>
        <v>5640</v>
      </c>
      <c r="G46" s="7">
        <v>21.95</v>
      </c>
      <c r="H46" s="7" t="s">
        <v>16</v>
      </c>
      <c r="I46" s="7">
        <f>VLOOKUP(H46,Sheet4!A:B,2,0)</f>
        <v>10</v>
      </c>
      <c r="J46" s="7">
        <v>0</v>
      </c>
      <c r="K46" s="7">
        <v>4.36</v>
      </c>
      <c r="L46" s="7">
        <v>23.86</v>
      </c>
      <c r="M46" s="7" t="s">
        <v>16</v>
      </c>
      <c r="N46" s="7">
        <f>VLOOKUP(M46,Sheet4!A:B,2,0)</f>
        <v>10</v>
      </c>
      <c r="O46" s="7">
        <v>0</v>
      </c>
      <c r="P46" s="7">
        <v>0.4</v>
      </c>
    </row>
    <row r="47" ht="15.3" spans="1:16">
      <c r="A47" s="12">
        <v>10.04</v>
      </c>
      <c r="B47" s="18">
        <v>20</v>
      </c>
      <c r="C47" s="14">
        <v>1</v>
      </c>
      <c r="D47" s="15">
        <v>1418</v>
      </c>
      <c r="E47" s="14">
        <v>1449</v>
      </c>
      <c r="F47" s="19">
        <f t="shared" si="0"/>
        <v>2867</v>
      </c>
      <c r="G47" s="7">
        <v>22.05</v>
      </c>
      <c r="H47" s="7" t="s">
        <v>16</v>
      </c>
      <c r="I47" s="7">
        <f>VLOOKUP(H47,Sheet4!A:B,2,0)</f>
        <v>10</v>
      </c>
      <c r="J47" s="7">
        <v>0</v>
      </c>
      <c r="K47" s="7">
        <v>4.72</v>
      </c>
      <c r="L47" s="7">
        <v>21.26</v>
      </c>
      <c r="M47" s="7" t="s">
        <v>20</v>
      </c>
      <c r="N47" s="7">
        <f>VLOOKUP(M47,Sheet4!A:B,2,0)</f>
        <v>4</v>
      </c>
      <c r="O47" s="7">
        <v>1.7</v>
      </c>
      <c r="P47" s="7">
        <v>1.03</v>
      </c>
    </row>
    <row r="48" ht="15.3" spans="1:16">
      <c r="A48" s="12">
        <v>10.04</v>
      </c>
      <c r="B48" s="18">
        <v>22</v>
      </c>
      <c r="C48" s="14">
        <v>1</v>
      </c>
      <c r="D48" s="15">
        <v>1173</v>
      </c>
      <c r="E48" s="14">
        <v>2515</v>
      </c>
      <c r="F48" s="19">
        <f t="shared" si="0"/>
        <v>3688</v>
      </c>
      <c r="G48" s="7">
        <v>22.2</v>
      </c>
      <c r="H48" s="7" t="s">
        <v>16</v>
      </c>
      <c r="I48" s="7">
        <f>VLOOKUP(H48,Sheet4!A:B,2,0)</f>
        <v>10</v>
      </c>
      <c r="J48" s="7">
        <v>0</v>
      </c>
      <c r="K48" s="7">
        <v>4.12</v>
      </c>
      <c r="L48" s="7">
        <v>20.41</v>
      </c>
      <c r="M48" s="7" t="s">
        <v>16</v>
      </c>
      <c r="N48" s="7">
        <f>VLOOKUP(M48,Sheet4!A:B,2,0)</f>
        <v>10</v>
      </c>
      <c r="O48" s="7">
        <v>0.2</v>
      </c>
      <c r="P48" s="7">
        <v>0.82</v>
      </c>
    </row>
    <row r="49" ht="15.3" spans="1:16">
      <c r="A49" s="12">
        <v>10.04</v>
      </c>
      <c r="B49" s="20">
        <v>24</v>
      </c>
      <c r="C49" s="14">
        <v>1</v>
      </c>
      <c r="D49" s="15">
        <v>895</v>
      </c>
      <c r="E49" s="14">
        <v>1454</v>
      </c>
      <c r="F49" s="19">
        <f t="shared" si="0"/>
        <v>2349</v>
      </c>
      <c r="G49" s="7">
        <v>22.2</v>
      </c>
      <c r="H49" s="7" t="s">
        <v>16</v>
      </c>
      <c r="I49" s="7">
        <f>VLOOKUP(H49,Sheet4!A:B,2,0)</f>
        <v>10</v>
      </c>
      <c r="J49" s="7">
        <v>0</v>
      </c>
      <c r="K49" s="7">
        <v>4.13</v>
      </c>
      <c r="L49" s="7">
        <v>19.91</v>
      </c>
      <c r="M49" s="7" t="s">
        <v>17</v>
      </c>
      <c r="N49" s="7">
        <f>VLOOKUP(M49,Sheet4!A:B,2,0)</f>
        <v>5</v>
      </c>
      <c r="O49" s="7">
        <v>0.5</v>
      </c>
      <c r="P49" s="7">
        <v>0.78</v>
      </c>
    </row>
    <row r="50" ht="15.3" spans="1:16">
      <c r="A50" s="12">
        <v>10.05</v>
      </c>
      <c r="B50" s="18">
        <v>2</v>
      </c>
      <c r="C50" s="14">
        <v>1</v>
      </c>
      <c r="D50" s="15">
        <v>673</v>
      </c>
      <c r="E50" s="14">
        <v>691</v>
      </c>
      <c r="F50" s="19">
        <f t="shared" si="0"/>
        <v>1364</v>
      </c>
      <c r="G50" s="7">
        <v>22</v>
      </c>
      <c r="H50" s="7" t="s">
        <v>16</v>
      </c>
      <c r="I50" s="7">
        <f>VLOOKUP(H50,Sheet4!A:B,2,0)</f>
        <v>10</v>
      </c>
      <c r="J50" s="7">
        <v>0.1</v>
      </c>
      <c r="K50" s="7">
        <v>2.44</v>
      </c>
      <c r="L50" s="7">
        <v>19.71</v>
      </c>
      <c r="M50" s="7" t="s">
        <v>21</v>
      </c>
      <c r="N50" s="7">
        <f>VLOOKUP(M50,Sheet4!A:B,2,0)</f>
        <v>2</v>
      </c>
      <c r="O50" s="7">
        <v>2.6</v>
      </c>
      <c r="P50" s="7">
        <v>0.22</v>
      </c>
    </row>
    <row r="51" ht="15.3" spans="1:16">
      <c r="A51" s="12">
        <v>10.05</v>
      </c>
      <c r="B51" s="18">
        <v>4</v>
      </c>
      <c r="C51" s="14">
        <v>1</v>
      </c>
      <c r="D51" s="15">
        <v>516</v>
      </c>
      <c r="E51" s="14">
        <v>536</v>
      </c>
      <c r="F51" s="19">
        <f t="shared" si="0"/>
        <v>1052</v>
      </c>
      <c r="G51" s="7">
        <v>21.65</v>
      </c>
      <c r="H51" s="7" t="s">
        <v>16</v>
      </c>
      <c r="I51" s="7">
        <f>VLOOKUP(H51,Sheet4!A:B,2,0)</f>
        <v>10</v>
      </c>
      <c r="J51" s="7">
        <v>0</v>
      </c>
      <c r="K51" s="7">
        <v>1.41</v>
      </c>
      <c r="L51" s="7">
        <v>19.51</v>
      </c>
      <c r="M51" s="7" t="s">
        <v>17</v>
      </c>
      <c r="N51" s="7">
        <f>VLOOKUP(M51,Sheet4!A:B,2,0)</f>
        <v>5</v>
      </c>
      <c r="O51" s="7">
        <v>0.7</v>
      </c>
      <c r="P51" s="7">
        <v>0.41</v>
      </c>
    </row>
    <row r="52" ht="15.3" spans="1:16">
      <c r="A52" s="12">
        <v>10.05</v>
      </c>
      <c r="B52" s="18">
        <v>6</v>
      </c>
      <c r="C52" s="14">
        <v>1</v>
      </c>
      <c r="D52" s="15">
        <v>579</v>
      </c>
      <c r="E52" s="14">
        <v>624</v>
      </c>
      <c r="F52" s="19">
        <f t="shared" si="0"/>
        <v>1203</v>
      </c>
      <c r="G52" s="7">
        <v>21.7</v>
      </c>
      <c r="H52" s="7" t="s">
        <v>16</v>
      </c>
      <c r="I52" s="7">
        <f>VLOOKUP(H52,Sheet4!A:B,2,0)</f>
        <v>10</v>
      </c>
      <c r="J52" s="7">
        <v>0</v>
      </c>
      <c r="K52" s="7">
        <v>0.14</v>
      </c>
      <c r="L52" s="7">
        <v>19.31</v>
      </c>
      <c r="M52" s="7" t="s">
        <v>18</v>
      </c>
      <c r="N52" s="7">
        <f>VLOOKUP(M52,Sheet4!A:B,2,0)</f>
        <v>6</v>
      </c>
      <c r="O52" s="7">
        <v>0</v>
      </c>
      <c r="P52" s="7">
        <v>0.47</v>
      </c>
    </row>
    <row r="53" ht="15.3" spans="1:16">
      <c r="A53" s="12">
        <v>10.05</v>
      </c>
      <c r="B53" s="18">
        <v>8</v>
      </c>
      <c r="C53" s="14">
        <v>1</v>
      </c>
      <c r="D53" s="15">
        <v>962</v>
      </c>
      <c r="E53" s="14">
        <v>1327</v>
      </c>
      <c r="F53" s="19">
        <f t="shared" si="0"/>
        <v>2289</v>
      </c>
      <c r="G53" s="7">
        <v>20.2</v>
      </c>
      <c r="H53" s="7" t="s">
        <v>16</v>
      </c>
      <c r="I53" s="7">
        <f>VLOOKUP(H53,Sheet4!A:B,2,0)</f>
        <v>10</v>
      </c>
      <c r="J53" s="7">
        <v>0.1</v>
      </c>
      <c r="K53" s="7">
        <v>5.85</v>
      </c>
      <c r="L53" s="7">
        <v>19.36</v>
      </c>
      <c r="M53" s="7" t="s">
        <v>16</v>
      </c>
      <c r="N53" s="7">
        <f>VLOOKUP(M53,Sheet4!A:B,2,0)</f>
        <v>10</v>
      </c>
      <c r="O53" s="7">
        <v>0</v>
      </c>
      <c r="P53" s="7">
        <v>1.15</v>
      </c>
    </row>
    <row r="54" ht="15.3" spans="1:16">
      <c r="A54" s="12">
        <v>10.05</v>
      </c>
      <c r="B54" s="18">
        <v>10</v>
      </c>
      <c r="C54" s="14">
        <v>1</v>
      </c>
      <c r="D54" s="15">
        <v>1380</v>
      </c>
      <c r="E54" s="14">
        <v>2627</v>
      </c>
      <c r="F54" s="19">
        <f t="shared" si="0"/>
        <v>4007</v>
      </c>
      <c r="G54" s="7">
        <v>21.35</v>
      </c>
      <c r="H54" s="7" t="s">
        <v>16</v>
      </c>
      <c r="I54" s="7">
        <f>VLOOKUP(H54,Sheet4!A:B,2,0)</f>
        <v>10</v>
      </c>
      <c r="J54" s="7">
        <v>0</v>
      </c>
      <c r="K54" s="7">
        <v>9.58</v>
      </c>
      <c r="L54" s="7">
        <v>20.56</v>
      </c>
      <c r="M54" s="7" t="s">
        <v>16</v>
      </c>
      <c r="N54" s="7">
        <f>VLOOKUP(M54,Sheet4!A:B,2,0)</f>
        <v>10</v>
      </c>
      <c r="O54" s="7">
        <v>0.1</v>
      </c>
      <c r="P54" s="7">
        <v>2.16</v>
      </c>
    </row>
    <row r="55" ht="15.3" spans="1:16">
      <c r="A55" s="12">
        <v>10.05</v>
      </c>
      <c r="B55" s="18">
        <v>12</v>
      </c>
      <c r="C55" s="14">
        <v>1</v>
      </c>
      <c r="D55" s="15">
        <v>1944</v>
      </c>
      <c r="E55" s="14">
        <v>4042</v>
      </c>
      <c r="F55" s="19">
        <f t="shared" si="0"/>
        <v>5986</v>
      </c>
      <c r="G55" s="7">
        <v>20.85</v>
      </c>
      <c r="H55" s="7" t="s">
        <v>16</v>
      </c>
      <c r="I55" s="7">
        <f>VLOOKUP(H55,Sheet4!A:B,2,0)</f>
        <v>10</v>
      </c>
      <c r="J55" s="7">
        <v>0</v>
      </c>
      <c r="K55" s="7">
        <v>10.13</v>
      </c>
      <c r="L55" s="7">
        <v>21.36</v>
      </c>
      <c r="M55" s="7" t="s">
        <v>16</v>
      </c>
      <c r="N55" s="7">
        <f>VLOOKUP(M55,Sheet4!A:B,2,0)</f>
        <v>10</v>
      </c>
      <c r="O55" s="7">
        <v>0</v>
      </c>
      <c r="P55" s="7">
        <v>2.13</v>
      </c>
    </row>
    <row r="56" ht="15.3" spans="1:16">
      <c r="A56" s="12">
        <v>10.05</v>
      </c>
      <c r="B56" s="18">
        <v>14</v>
      </c>
      <c r="C56" s="14">
        <v>1</v>
      </c>
      <c r="D56" s="15">
        <v>1891</v>
      </c>
      <c r="E56" s="14">
        <v>4048</v>
      </c>
      <c r="F56" s="19">
        <f t="shared" si="0"/>
        <v>5939</v>
      </c>
      <c r="G56" s="7">
        <v>21.25</v>
      </c>
      <c r="H56" s="7" t="s">
        <v>16</v>
      </c>
      <c r="I56" s="7">
        <f>VLOOKUP(H56,Sheet4!A:B,2,0)</f>
        <v>10</v>
      </c>
      <c r="J56" s="7">
        <v>0</v>
      </c>
      <c r="K56" s="7">
        <v>9.99</v>
      </c>
      <c r="L56" s="7">
        <v>21.51</v>
      </c>
      <c r="M56" s="7" t="s">
        <v>16</v>
      </c>
      <c r="N56" s="7">
        <f>VLOOKUP(M56,Sheet4!A:B,2,0)</f>
        <v>10</v>
      </c>
      <c r="O56" s="7">
        <v>0.2</v>
      </c>
      <c r="P56" s="7">
        <v>1.85</v>
      </c>
    </row>
    <row r="57" ht="15.3" spans="1:16">
      <c r="A57" s="12">
        <v>10.05</v>
      </c>
      <c r="B57" s="18">
        <v>16</v>
      </c>
      <c r="C57" s="14">
        <v>1</v>
      </c>
      <c r="D57" s="15">
        <v>2134</v>
      </c>
      <c r="E57" s="14">
        <v>3866</v>
      </c>
      <c r="F57" s="19">
        <f t="shared" si="0"/>
        <v>6000</v>
      </c>
      <c r="G57" s="7">
        <v>20.45</v>
      </c>
      <c r="H57" s="7" t="s">
        <v>17</v>
      </c>
      <c r="I57" s="7">
        <f>VLOOKUP(H57,Sheet4!A:B,2,0)</f>
        <v>5</v>
      </c>
      <c r="J57" s="7">
        <v>0.9</v>
      </c>
      <c r="K57" s="7">
        <v>11.39</v>
      </c>
      <c r="L57" s="7">
        <v>20.96</v>
      </c>
      <c r="M57" s="7" t="s">
        <v>17</v>
      </c>
      <c r="N57" s="7">
        <f>VLOOKUP(M57,Sheet4!A:B,2,0)</f>
        <v>5</v>
      </c>
      <c r="O57" s="7">
        <v>0.7</v>
      </c>
      <c r="P57" s="7">
        <v>2.28</v>
      </c>
    </row>
    <row r="58" ht="15.3" spans="1:16">
      <c r="A58" s="12">
        <v>10.05</v>
      </c>
      <c r="B58" s="18">
        <v>18</v>
      </c>
      <c r="C58" s="14">
        <v>1</v>
      </c>
      <c r="D58" s="15">
        <v>2012</v>
      </c>
      <c r="E58" s="14">
        <v>3761</v>
      </c>
      <c r="F58" s="19">
        <f t="shared" si="0"/>
        <v>5773</v>
      </c>
      <c r="G58" s="7">
        <v>20.55</v>
      </c>
      <c r="H58" s="7" t="s">
        <v>17</v>
      </c>
      <c r="I58" s="7">
        <f>VLOOKUP(H58,Sheet4!A:B,2,0)</f>
        <v>5</v>
      </c>
      <c r="J58" s="7">
        <v>0.5</v>
      </c>
      <c r="K58" s="7">
        <v>12.32</v>
      </c>
      <c r="L58" s="7">
        <v>20.11</v>
      </c>
      <c r="M58" s="7" t="s">
        <v>17</v>
      </c>
      <c r="N58" s="7">
        <f>VLOOKUP(M58,Sheet4!A:B,2,0)</f>
        <v>5</v>
      </c>
      <c r="O58" s="7">
        <v>0.6</v>
      </c>
      <c r="P58" s="7">
        <v>2.83</v>
      </c>
    </row>
    <row r="59" ht="15.3" spans="1:16">
      <c r="A59" s="12">
        <v>10.05</v>
      </c>
      <c r="B59" s="18">
        <v>20</v>
      </c>
      <c r="C59" s="14">
        <v>1</v>
      </c>
      <c r="D59" s="15">
        <v>1279</v>
      </c>
      <c r="E59" s="14">
        <v>3337</v>
      </c>
      <c r="F59" s="19">
        <f t="shared" si="0"/>
        <v>4616</v>
      </c>
      <c r="G59" s="7">
        <v>20.45</v>
      </c>
      <c r="H59" s="7" t="s">
        <v>17</v>
      </c>
      <c r="I59" s="7">
        <f>VLOOKUP(H59,Sheet4!A:B,2,0)</f>
        <v>5</v>
      </c>
      <c r="J59" s="7">
        <v>0.5</v>
      </c>
      <c r="K59" s="7">
        <v>12.87</v>
      </c>
      <c r="L59" s="7">
        <v>19.76</v>
      </c>
      <c r="M59" s="7" t="s">
        <v>20</v>
      </c>
      <c r="N59" s="7">
        <f>VLOOKUP(M59,Sheet4!A:B,2,0)</f>
        <v>4</v>
      </c>
      <c r="O59" s="7">
        <v>1.9</v>
      </c>
      <c r="P59" s="7">
        <v>2.99</v>
      </c>
    </row>
    <row r="60" ht="15.3" spans="1:16">
      <c r="A60" s="12">
        <v>10.05</v>
      </c>
      <c r="B60" s="18">
        <v>22</v>
      </c>
      <c r="C60" s="14">
        <v>1</v>
      </c>
      <c r="D60" s="15">
        <v>1084</v>
      </c>
      <c r="E60" s="14">
        <v>2447</v>
      </c>
      <c r="F60" s="19">
        <f t="shared" si="0"/>
        <v>3531</v>
      </c>
      <c r="G60" s="7">
        <v>19.3</v>
      </c>
      <c r="H60" s="7" t="s">
        <v>20</v>
      </c>
      <c r="I60" s="7">
        <f>VLOOKUP(H60,Sheet4!A:B,2,0)</f>
        <v>4</v>
      </c>
      <c r="J60" s="7">
        <v>1.6</v>
      </c>
      <c r="K60" s="7">
        <v>12.28</v>
      </c>
      <c r="L60" s="7">
        <v>19.51</v>
      </c>
      <c r="M60" s="7" t="s">
        <v>17</v>
      </c>
      <c r="N60" s="7">
        <f>VLOOKUP(M60,Sheet4!A:B,2,0)</f>
        <v>5</v>
      </c>
      <c r="O60" s="7">
        <v>0.6</v>
      </c>
      <c r="P60" s="7">
        <v>3.93</v>
      </c>
    </row>
    <row r="61" ht="15.3" spans="1:16">
      <c r="A61" s="12">
        <v>10.05</v>
      </c>
      <c r="B61" s="20">
        <v>24</v>
      </c>
      <c r="C61" s="14">
        <v>1</v>
      </c>
      <c r="D61" s="15">
        <v>854</v>
      </c>
      <c r="E61" s="14">
        <v>1321</v>
      </c>
      <c r="F61" s="19">
        <f t="shared" si="0"/>
        <v>2175</v>
      </c>
      <c r="G61" s="7">
        <v>19.1</v>
      </c>
      <c r="H61" s="7" t="s">
        <v>17</v>
      </c>
      <c r="I61" s="7">
        <f>VLOOKUP(H61,Sheet4!A:B,2,0)</f>
        <v>5</v>
      </c>
      <c r="J61" s="7">
        <v>0.7</v>
      </c>
      <c r="K61" s="7">
        <v>11.76</v>
      </c>
      <c r="L61" s="7">
        <v>19.31</v>
      </c>
      <c r="M61" s="7" t="s">
        <v>20</v>
      </c>
      <c r="N61" s="7">
        <f>VLOOKUP(M61,Sheet4!A:B,2,0)</f>
        <v>4</v>
      </c>
      <c r="O61" s="7">
        <v>1.6</v>
      </c>
      <c r="P61" s="7">
        <v>3.98</v>
      </c>
    </row>
    <row r="62" ht="15.3" spans="1:16">
      <c r="A62" s="12">
        <v>10.06</v>
      </c>
      <c r="B62" s="18">
        <v>2</v>
      </c>
      <c r="C62" s="14">
        <v>1</v>
      </c>
      <c r="D62" s="15">
        <v>676</v>
      </c>
      <c r="E62" s="14">
        <v>684</v>
      </c>
      <c r="F62" s="19">
        <f t="shared" si="0"/>
        <v>1360</v>
      </c>
      <c r="G62" s="7">
        <v>18.05</v>
      </c>
      <c r="H62" s="7" t="s">
        <v>20</v>
      </c>
      <c r="I62" s="7">
        <f>VLOOKUP(H62,Sheet4!A:B,2,0)</f>
        <v>4</v>
      </c>
      <c r="J62" s="7">
        <v>1.9</v>
      </c>
      <c r="K62" s="7">
        <v>11.96</v>
      </c>
      <c r="L62" s="7">
        <v>18.56</v>
      </c>
      <c r="M62" s="7" t="s">
        <v>21</v>
      </c>
      <c r="N62" s="7">
        <f>VLOOKUP(M62,Sheet4!A:B,2,0)</f>
        <v>2</v>
      </c>
      <c r="O62" s="7">
        <v>3.1</v>
      </c>
      <c r="P62" s="7">
        <v>4.6</v>
      </c>
    </row>
    <row r="63" ht="15.3" spans="1:16">
      <c r="A63" s="12">
        <v>10.06</v>
      </c>
      <c r="B63" s="18">
        <v>4</v>
      </c>
      <c r="C63" s="14">
        <v>1</v>
      </c>
      <c r="D63" s="15">
        <v>559</v>
      </c>
      <c r="E63" s="14">
        <v>490</v>
      </c>
      <c r="F63" s="19">
        <f t="shared" si="0"/>
        <v>1049</v>
      </c>
      <c r="G63" s="7">
        <v>17.2</v>
      </c>
      <c r="H63" s="7" t="s">
        <v>20</v>
      </c>
      <c r="I63" s="7">
        <f>VLOOKUP(H63,Sheet4!A:B,2,0)</f>
        <v>4</v>
      </c>
      <c r="J63" s="7">
        <v>1.5</v>
      </c>
      <c r="K63" s="7">
        <v>12.76</v>
      </c>
      <c r="L63" s="7">
        <v>17.91</v>
      </c>
      <c r="M63" s="7" t="s">
        <v>21</v>
      </c>
      <c r="N63" s="7">
        <f>VLOOKUP(M63,Sheet4!A:B,2,0)</f>
        <v>2</v>
      </c>
      <c r="O63" s="7">
        <v>2.5</v>
      </c>
      <c r="P63" s="7">
        <v>4.05</v>
      </c>
    </row>
    <row r="64" ht="15.3" spans="1:16">
      <c r="A64" s="12">
        <v>10.06</v>
      </c>
      <c r="B64" s="18">
        <v>6</v>
      </c>
      <c r="C64" s="14">
        <v>1</v>
      </c>
      <c r="D64" s="15">
        <v>487</v>
      </c>
      <c r="E64" s="14">
        <v>622</v>
      </c>
      <c r="F64" s="19">
        <f t="shared" si="0"/>
        <v>1109</v>
      </c>
      <c r="G64" s="7">
        <v>16.6</v>
      </c>
      <c r="H64" s="7" t="s">
        <v>20</v>
      </c>
      <c r="I64" s="7">
        <f>VLOOKUP(H64,Sheet4!A:B,2,0)</f>
        <v>4</v>
      </c>
      <c r="J64" s="7">
        <v>1.7</v>
      </c>
      <c r="K64" s="7">
        <v>12.47</v>
      </c>
      <c r="L64" s="7">
        <v>17.81</v>
      </c>
      <c r="M64" s="7" t="s">
        <v>21</v>
      </c>
      <c r="N64" s="7">
        <f>VLOOKUP(M64,Sheet4!A:B,2,0)</f>
        <v>2</v>
      </c>
      <c r="O64" s="7">
        <v>2.8</v>
      </c>
      <c r="P64" s="7">
        <v>5.23</v>
      </c>
    </row>
    <row r="65" ht="15.3" spans="1:16">
      <c r="A65" s="12">
        <v>10.06</v>
      </c>
      <c r="B65" s="18">
        <v>8</v>
      </c>
      <c r="C65" s="14">
        <v>1</v>
      </c>
      <c r="D65" s="15">
        <v>903</v>
      </c>
      <c r="E65" s="14">
        <v>1079</v>
      </c>
      <c r="F65" s="19">
        <f t="shared" si="0"/>
        <v>1982</v>
      </c>
      <c r="G65" s="7">
        <v>17</v>
      </c>
      <c r="H65" s="7" t="s">
        <v>16</v>
      </c>
      <c r="I65" s="7">
        <f>VLOOKUP(H65,Sheet4!A:B,2,0)</f>
        <v>10</v>
      </c>
      <c r="J65" s="7">
        <v>0.1</v>
      </c>
      <c r="K65" s="7">
        <v>11.86</v>
      </c>
      <c r="L65" s="7">
        <v>17.66</v>
      </c>
      <c r="M65" s="7" t="s">
        <v>17</v>
      </c>
      <c r="N65" s="7">
        <f>VLOOKUP(M65,Sheet4!A:B,2,0)</f>
        <v>5</v>
      </c>
      <c r="O65" s="7">
        <v>0.4</v>
      </c>
      <c r="P65" s="7">
        <v>5.57</v>
      </c>
    </row>
    <row r="66" ht="15.3" spans="1:16">
      <c r="A66" s="12">
        <v>10.06</v>
      </c>
      <c r="B66" s="18">
        <v>10</v>
      </c>
      <c r="C66" s="14">
        <v>1</v>
      </c>
      <c r="D66" s="15">
        <v>1358</v>
      </c>
      <c r="E66" s="14">
        <v>4091</v>
      </c>
      <c r="F66" s="19">
        <f t="shared" si="0"/>
        <v>5449</v>
      </c>
      <c r="G66" s="7">
        <v>17.3</v>
      </c>
      <c r="H66" s="7" t="s">
        <v>16</v>
      </c>
      <c r="I66" s="7">
        <f>VLOOKUP(H66,Sheet4!A:B,2,0)</f>
        <v>10</v>
      </c>
      <c r="J66" s="7">
        <v>0.1</v>
      </c>
      <c r="K66" s="7">
        <v>12.22</v>
      </c>
      <c r="L66" s="7">
        <v>17.11</v>
      </c>
      <c r="M66" s="7" t="s">
        <v>20</v>
      </c>
      <c r="N66" s="7">
        <f>VLOOKUP(M66,Sheet4!A:B,2,0)</f>
        <v>4</v>
      </c>
      <c r="O66" s="7">
        <v>1.6</v>
      </c>
      <c r="P66" s="7">
        <v>5.28</v>
      </c>
    </row>
    <row r="67" ht="15.3" spans="1:16">
      <c r="A67" s="12">
        <v>10.06</v>
      </c>
      <c r="B67" s="18">
        <v>12</v>
      </c>
      <c r="C67" s="14">
        <v>1</v>
      </c>
      <c r="D67" s="15">
        <v>1736</v>
      </c>
      <c r="E67" s="14">
        <v>1648</v>
      </c>
      <c r="F67" s="19">
        <f t="shared" ref="F67:F130" si="1">D67+E67</f>
        <v>3384</v>
      </c>
      <c r="G67" s="7">
        <v>17.25</v>
      </c>
      <c r="H67" s="7" t="s">
        <v>16</v>
      </c>
      <c r="I67" s="7">
        <f>VLOOKUP(H67,Sheet4!A:B,2,0)</f>
        <v>10</v>
      </c>
      <c r="J67" s="7">
        <v>0</v>
      </c>
      <c r="K67" s="7">
        <v>11.96</v>
      </c>
      <c r="L67" s="7">
        <v>18.01</v>
      </c>
      <c r="M67" s="7" t="s">
        <v>18</v>
      </c>
      <c r="N67" s="7">
        <f>VLOOKUP(M67,Sheet4!A:B,2,0)</f>
        <v>6</v>
      </c>
      <c r="O67" s="7">
        <v>0.3</v>
      </c>
      <c r="P67" s="7">
        <v>4.55</v>
      </c>
    </row>
    <row r="68" ht="15.3" spans="1:16">
      <c r="A68" s="12">
        <v>10.06</v>
      </c>
      <c r="B68" s="18">
        <v>14</v>
      </c>
      <c r="C68" s="14">
        <v>1</v>
      </c>
      <c r="D68" s="15">
        <v>1662</v>
      </c>
      <c r="E68" s="14">
        <v>4181</v>
      </c>
      <c r="F68" s="19">
        <f t="shared" si="1"/>
        <v>5843</v>
      </c>
      <c r="G68" s="7">
        <v>17.55</v>
      </c>
      <c r="H68" s="7" t="s">
        <v>16</v>
      </c>
      <c r="I68" s="7">
        <f>VLOOKUP(H68,Sheet4!A:B,2,0)</f>
        <v>10</v>
      </c>
      <c r="J68" s="7">
        <v>0</v>
      </c>
      <c r="K68" s="7">
        <v>9.82</v>
      </c>
      <c r="L68" s="7">
        <v>17.51</v>
      </c>
      <c r="M68" s="7" t="s">
        <v>20</v>
      </c>
      <c r="N68" s="7">
        <f>VLOOKUP(M68,Sheet4!A:B,2,0)</f>
        <v>4</v>
      </c>
      <c r="O68" s="7">
        <v>2.1</v>
      </c>
      <c r="P68" s="7">
        <v>4.31</v>
      </c>
    </row>
    <row r="69" ht="15.3" spans="1:16">
      <c r="A69" s="12">
        <v>10.06</v>
      </c>
      <c r="B69" s="18">
        <v>16</v>
      </c>
      <c r="C69" s="14">
        <v>1</v>
      </c>
      <c r="D69" s="15">
        <v>1649</v>
      </c>
      <c r="E69" s="14">
        <v>4535</v>
      </c>
      <c r="F69" s="19">
        <f t="shared" si="1"/>
        <v>6184</v>
      </c>
      <c r="G69" s="7">
        <v>18.35</v>
      </c>
      <c r="H69" s="7" t="s">
        <v>16</v>
      </c>
      <c r="I69" s="7">
        <f>VLOOKUP(H69,Sheet4!A:B,2,0)</f>
        <v>10</v>
      </c>
      <c r="J69" s="7">
        <v>0</v>
      </c>
      <c r="K69" s="7">
        <v>7.94</v>
      </c>
      <c r="L69" s="7">
        <v>17.01</v>
      </c>
      <c r="M69" s="7" t="s">
        <v>20</v>
      </c>
      <c r="N69" s="7">
        <f>VLOOKUP(M69,Sheet4!A:B,2,0)</f>
        <v>4</v>
      </c>
      <c r="O69" s="7">
        <v>1.6</v>
      </c>
      <c r="P69" s="7">
        <v>4.28</v>
      </c>
    </row>
    <row r="70" ht="15.3" spans="1:16">
      <c r="A70" s="12">
        <v>10.06</v>
      </c>
      <c r="B70" s="18">
        <v>18</v>
      </c>
      <c r="C70" s="14">
        <v>1</v>
      </c>
      <c r="D70" s="15">
        <v>1317</v>
      </c>
      <c r="E70" s="14">
        <v>4624</v>
      </c>
      <c r="F70" s="19">
        <f t="shared" si="1"/>
        <v>5941</v>
      </c>
      <c r="G70" s="7">
        <v>19.4</v>
      </c>
      <c r="H70" s="7" t="s">
        <v>16</v>
      </c>
      <c r="I70" s="7">
        <f>VLOOKUP(H70,Sheet4!A:B,2,0)</f>
        <v>10</v>
      </c>
      <c r="J70" s="7">
        <v>0</v>
      </c>
      <c r="K70" s="7">
        <v>7.97</v>
      </c>
      <c r="L70" s="7">
        <v>16.96</v>
      </c>
      <c r="M70" s="7" t="s">
        <v>17</v>
      </c>
      <c r="N70" s="7">
        <f>VLOOKUP(M70,Sheet4!A:B,2,0)</f>
        <v>5</v>
      </c>
      <c r="O70" s="7">
        <v>0.4</v>
      </c>
      <c r="P70" s="7">
        <v>2.94</v>
      </c>
    </row>
    <row r="71" ht="15.3" spans="1:16">
      <c r="A71" s="12">
        <v>10.06</v>
      </c>
      <c r="B71" s="18">
        <v>20</v>
      </c>
      <c r="C71" s="14">
        <v>1</v>
      </c>
      <c r="D71" s="15">
        <v>1436</v>
      </c>
      <c r="E71" s="14">
        <v>3540</v>
      </c>
      <c r="F71" s="19">
        <f t="shared" si="1"/>
        <v>4976</v>
      </c>
      <c r="G71" s="7">
        <v>19.75</v>
      </c>
      <c r="H71" s="7" t="s">
        <v>16</v>
      </c>
      <c r="I71" s="7">
        <f>VLOOKUP(H71,Sheet4!A:B,2,0)</f>
        <v>10</v>
      </c>
      <c r="J71" s="7">
        <v>0</v>
      </c>
      <c r="K71" s="7">
        <v>7.4</v>
      </c>
      <c r="L71" s="7">
        <v>16.26</v>
      </c>
      <c r="M71" s="7" t="s">
        <v>16</v>
      </c>
      <c r="N71" s="7">
        <f>VLOOKUP(M71,Sheet4!A:B,2,0)</f>
        <v>10</v>
      </c>
      <c r="O71" s="7">
        <v>0</v>
      </c>
      <c r="P71" s="7">
        <v>2.27</v>
      </c>
    </row>
    <row r="72" ht="15.3" spans="1:16">
      <c r="A72" s="12">
        <v>10.06</v>
      </c>
      <c r="B72" s="18">
        <v>22</v>
      </c>
      <c r="C72" s="14">
        <v>1</v>
      </c>
      <c r="D72" s="15">
        <v>1054</v>
      </c>
      <c r="E72" s="14">
        <v>2154</v>
      </c>
      <c r="F72" s="19">
        <f t="shared" si="1"/>
        <v>3208</v>
      </c>
      <c r="G72" s="7">
        <v>19.7</v>
      </c>
      <c r="H72" s="7" t="s">
        <v>16</v>
      </c>
      <c r="I72" s="7">
        <f>VLOOKUP(H72,Sheet4!A:B,2,0)</f>
        <v>10</v>
      </c>
      <c r="J72" s="7">
        <v>0</v>
      </c>
      <c r="K72" s="7">
        <v>6.04</v>
      </c>
      <c r="L72" s="7">
        <v>15.76</v>
      </c>
      <c r="M72" s="7" t="s">
        <v>16</v>
      </c>
      <c r="N72" s="7">
        <f>VLOOKUP(M72,Sheet4!A:B,2,0)</f>
        <v>10</v>
      </c>
      <c r="O72" s="7">
        <v>0</v>
      </c>
      <c r="P72" s="7">
        <v>2.15</v>
      </c>
    </row>
    <row r="73" ht="15.3" spans="1:16">
      <c r="A73" s="12">
        <v>10.06</v>
      </c>
      <c r="B73" s="20">
        <v>24</v>
      </c>
      <c r="C73" s="14">
        <v>1</v>
      </c>
      <c r="D73" s="15">
        <v>901</v>
      </c>
      <c r="E73" s="14">
        <v>1197</v>
      </c>
      <c r="F73" s="19">
        <f t="shared" si="1"/>
        <v>2098</v>
      </c>
      <c r="G73" s="7">
        <v>19.6</v>
      </c>
      <c r="H73" s="7" t="s">
        <v>16</v>
      </c>
      <c r="I73" s="7">
        <f>VLOOKUP(H73,Sheet4!A:B,2,0)</f>
        <v>10</v>
      </c>
      <c r="J73" s="7">
        <v>0</v>
      </c>
      <c r="K73" s="7">
        <v>6.53</v>
      </c>
      <c r="L73" s="7">
        <v>15.61</v>
      </c>
      <c r="M73" s="7" t="s">
        <v>16</v>
      </c>
      <c r="N73" s="7">
        <f>VLOOKUP(M73,Sheet4!A:B,2,0)</f>
        <v>10</v>
      </c>
      <c r="O73" s="7">
        <v>0</v>
      </c>
      <c r="P73" s="7">
        <v>1.61</v>
      </c>
    </row>
    <row r="74" ht="15.3" spans="1:16">
      <c r="A74" s="12">
        <v>10.07</v>
      </c>
      <c r="B74" s="18">
        <v>2</v>
      </c>
      <c r="C74" s="14">
        <v>1</v>
      </c>
      <c r="D74" s="15">
        <v>779</v>
      </c>
      <c r="E74" s="14">
        <v>670</v>
      </c>
      <c r="F74" s="19">
        <f t="shared" si="1"/>
        <v>1449</v>
      </c>
      <c r="G74" s="7">
        <v>18.95</v>
      </c>
      <c r="H74" s="7" t="s">
        <v>19</v>
      </c>
      <c r="I74" s="7">
        <f>VLOOKUP(H74,Sheet4!A:B,2,0)</f>
        <v>8</v>
      </c>
      <c r="J74" s="7">
        <v>0</v>
      </c>
      <c r="K74" s="7">
        <v>7.71</v>
      </c>
      <c r="L74" s="7">
        <v>15.16</v>
      </c>
      <c r="M74" s="7" t="s">
        <v>16</v>
      </c>
      <c r="N74" s="7">
        <f>VLOOKUP(M74,Sheet4!A:B,2,0)</f>
        <v>10</v>
      </c>
      <c r="O74" s="7">
        <v>0</v>
      </c>
      <c r="P74" s="7">
        <v>2.23</v>
      </c>
    </row>
    <row r="75" ht="15.3" spans="1:16">
      <c r="A75" s="12">
        <v>10.07</v>
      </c>
      <c r="B75" s="18">
        <v>4</v>
      </c>
      <c r="C75" s="14">
        <v>1</v>
      </c>
      <c r="D75" s="15">
        <v>584</v>
      </c>
      <c r="E75" s="14">
        <v>558</v>
      </c>
      <c r="F75" s="19">
        <f t="shared" si="1"/>
        <v>1142</v>
      </c>
      <c r="G75" s="7">
        <v>18.75</v>
      </c>
      <c r="H75" s="7" t="s">
        <v>16</v>
      </c>
      <c r="I75" s="7">
        <f>VLOOKUP(H75,Sheet4!A:B,2,0)</f>
        <v>10</v>
      </c>
      <c r="J75" s="7">
        <v>0</v>
      </c>
      <c r="K75" s="7">
        <v>7.17</v>
      </c>
      <c r="L75" s="7">
        <v>15.26</v>
      </c>
      <c r="M75" s="7" t="s">
        <v>16</v>
      </c>
      <c r="N75" s="7">
        <f>VLOOKUP(M75,Sheet4!A:B,2,0)</f>
        <v>10</v>
      </c>
      <c r="O75" s="7">
        <v>0.2</v>
      </c>
      <c r="P75" s="7">
        <v>2.3</v>
      </c>
    </row>
    <row r="76" ht="15.3" spans="1:16">
      <c r="A76" s="12">
        <v>10.07</v>
      </c>
      <c r="B76" s="18">
        <v>6</v>
      </c>
      <c r="C76" s="14">
        <v>1</v>
      </c>
      <c r="D76" s="15">
        <v>602</v>
      </c>
      <c r="E76" s="14">
        <v>853</v>
      </c>
      <c r="F76" s="19">
        <f t="shared" si="1"/>
        <v>1455</v>
      </c>
      <c r="G76" s="7">
        <v>18.55</v>
      </c>
      <c r="H76" s="7" t="s">
        <v>16</v>
      </c>
      <c r="I76" s="7">
        <f>VLOOKUP(H76,Sheet4!A:B,2,0)</f>
        <v>10</v>
      </c>
      <c r="J76" s="7">
        <v>0</v>
      </c>
      <c r="K76" s="7">
        <v>6.63</v>
      </c>
      <c r="L76" s="7">
        <v>15.01</v>
      </c>
      <c r="M76" s="7" t="s">
        <v>16</v>
      </c>
      <c r="N76" s="7">
        <f>VLOOKUP(M76,Sheet4!A:B,2,0)</f>
        <v>10</v>
      </c>
      <c r="O76" s="7">
        <v>0.1</v>
      </c>
      <c r="P76" s="7">
        <v>2.89</v>
      </c>
    </row>
    <row r="77" ht="15.3" spans="1:16">
      <c r="A77" s="12">
        <v>10.07</v>
      </c>
      <c r="B77" s="18">
        <v>8</v>
      </c>
      <c r="C77" s="14">
        <v>1</v>
      </c>
      <c r="D77" s="15">
        <v>1124</v>
      </c>
      <c r="E77" s="14">
        <v>2204</v>
      </c>
      <c r="F77" s="19">
        <f t="shared" si="1"/>
        <v>3328</v>
      </c>
      <c r="G77" s="7">
        <v>18.85</v>
      </c>
      <c r="H77" s="7" t="s">
        <v>16</v>
      </c>
      <c r="I77" s="7">
        <f>VLOOKUP(H77,Sheet4!A:B,2,0)</f>
        <v>10</v>
      </c>
      <c r="J77" s="7">
        <v>0</v>
      </c>
      <c r="K77" s="7">
        <v>4.88</v>
      </c>
      <c r="L77" s="7">
        <v>14.61</v>
      </c>
      <c r="M77" s="7" t="s">
        <v>20</v>
      </c>
      <c r="N77" s="7">
        <f>VLOOKUP(M77,Sheet4!A:B,2,0)</f>
        <v>4</v>
      </c>
      <c r="O77" s="7">
        <v>1.7</v>
      </c>
      <c r="P77" s="7">
        <v>2.28</v>
      </c>
    </row>
    <row r="78" ht="15.3" spans="1:16">
      <c r="A78" s="12">
        <v>10.07</v>
      </c>
      <c r="B78" s="18">
        <v>10</v>
      </c>
      <c r="C78" s="14">
        <v>1</v>
      </c>
      <c r="D78" s="15">
        <v>1707</v>
      </c>
      <c r="E78" s="14">
        <v>3713</v>
      </c>
      <c r="F78" s="19">
        <f t="shared" si="1"/>
        <v>5420</v>
      </c>
      <c r="G78" s="7">
        <v>19.3</v>
      </c>
      <c r="H78" s="7" t="s">
        <v>16</v>
      </c>
      <c r="I78" s="7">
        <f>VLOOKUP(H78,Sheet4!A:B,2,0)</f>
        <v>10</v>
      </c>
      <c r="J78" s="7">
        <v>0</v>
      </c>
      <c r="K78" s="7">
        <v>4.05</v>
      </c>
      <c r="L78" s="7">
        <v>15.96</v>
      </c>
      <c r="M78" s="7" t="s">
        <v>16</v>
      </c>
      <c r="N78" s="7">
        <f>VLOOKUP(M78,Sheet4!A:B,2,0)</f>
        <v>10</v>
      </c>
      <c r="O78" s="7">
        <v>0</v>
      </c>
      <c r="P78" s="7">
        <v>1.41</v>
      </c>
    </row>
    <row r="79" ht="15.3" spans="1:16">
      <c r="A79" s="12">
        <v>10.07</v>
      </c>
      <c r="B79" s="18">
        <v>12</v>
      </c>
      <c r="C79" s="14">
        <v>1</v>
      </c>
      <c r="D79" s="15">
        <v>2435</v>
      </c>
      <c r="E79" s="14">
        <v>4631</v>
      </c>
      <c r="F79" s="19">
        <f t="shared" si="1"/>
        <v>7066</v>
      </c>
      <c r="G79" s="7">
        <v>19.45</v>
      </c>
      <c r="H79" s="7" t="s">
        <v>16</v>
      </c>
      <c r="I79" s="7">
        <f>VLOOKUP(H79,Sheet4!A:B,2,0)</f>
        <v>10</v>
      </c>
      <c r="J79" s="7">
        <v>0</v>
      </c>
      <c r="K79" s="7">
        <v>3.69</v>
      </c>
      <c r="L79" s="7">
        <v>20.01</v>
      </c>
      <c r="M79" s="7" t="s">
        <v>16</v>
      </c>
      <c r="N79" s="7">
        <f>VLOOKUP(M79,Sheet4!A:B,2,0)</f>
        <v>10</v>
      </c>
      <c r="O79" s="7">
        <v>0</v>
      </c>
      <c r="P79" s="7">
        <v>1.69</v>
      </c>
    </row>
    <row r="80" ht="15.3" spans="1:16">
      <c r="A80" s="12">
        <v>10.07</v>
      </c>
      <c r="B80" s="18">
        <v>14</v>
      </c>
      <c r="C80" s="14">
        <v>1</v>
      </c>
      <c r="D80" s="15">
        <v>2328</v>
      </c>
      <c r="E80" s="14">
        <v>4908</v>
      </c>
      <c r="F80" s="19">
        <f t="shared" si="1"/>
        <v>7236</v>
      </c>
      <c r="G80" s="7">
        <v>19.85</v>
      </c>
      <c r="H80" s="7" t="s">
        <v>16</v>
      </c>
      <c r="I80" s="7">
        <f>VLOOKUP(H80,Sheet4!A:B,2,0)</f>
        <v>10</v>
      </c>
      <c r="J80" s="7">
        <v>0</v>
      </c>
      <c r="K80" s="7">
        <v>4.13</v>
      </c>
      <c r="L80" s="7">
        <v>22.76</v>
      </c>
      <c r="M80" s="7" t="s">
        <v>16</v>
      </c>
      <c r="N80" s="7">
        <f>VLOOKUP(M80,Sheet4!A:B,2,0)</f>
        <v>10</v>
      </c>
      <c r="O80" s="7">
        <v>0</v>
      </c>
      <c r="P80" s="7">
        <v>1.37</v>
      </c>
    </row>
    <row r="81" ht="15.3" spans="1:16">
      <c r="A81" s="12">
        <v>10.07</v>
      </c>
      <c r="B81" s="18">
        <v>16</v>
      </c>
      <c r="C81" s="14">
        <v>1</v>
      </c>
      <c r="D81" s="15">
        <v>2283</v>
      </c>
      <c r="E81" s="14">
        <v>4631</v>
      </c>
      <c r="F81" s="19">
        <f t="shared" si="1"/>
        <v>6914</v>
      </c>
      <c r="G81" s="7">
        <v>20.75</v>
      </c>
      <c r="H81" s="7" t="s">
        <v>16</v>
      </c>
      <c r="I81" s="7">
        <f>VLOOKUP(H81,Sheet4!A:B,2,0)</f>
        <v>10</v>
      </c>
      <c r="J81" s="7">
        <v>0</v>
      </c>
      <c r="K81" s="7">
        <v>4.88</v>
      </c>
      <c r="L81" s="7">
        <v>21.01</v>
      </c>
      <c r="M81" s="7" t="s">
        <v>16</v>
      </c>
      <c r="N81" s="7">
        <f>VLOOKUP(M81,Sheet4!A:B,2,0)</f>
        <v>10</v>
      </c>
      <c r="O81" s="7">
        <v>0</v>
      </c>
      <c r="P81" s="7">
        <v>1.66</v>
      </c>
    </row>
    <row r="82" ht="15.3" spans="1:16">
      <c r="A82" s="12">
        <v>10.07</v>
      </c>
      <c r="B82" s="18">
        <v>18</v>
      </c>
      <c r="C82" s="14">
        <v>1</v>
      </c>
      <c r="D82" s="15">
        <v>2326</v>
      </c>
      <c r="E82" s="14">
        <v>3996</v>
      </c>
      <c r="F82" s="19">
        <f t="shared" si="1"/>
        <v>6322</v>
      </c>
      <c r="G82" s="7">
        <v>21</v>
      </c>
      <c r="H82" s="7" t="s">
        <v>16</v>
      </c>
      <c r="I82" s="7">
        <f>VLOOKUP(H82,Sheet4!A:B,2,0)</f>
        <v>10</v>
      </c>
      <c r="J82" s="7">
        <v>0</v>
      </c>
      <c r="K82" s="7">
        <v>5.36</v>
      </c>
      <c r="L82" s="7">
        <v>20.26</v>
      </c>
      <c r="M82" s="7" t="s">
        <v>16</v>
      </c>
      <c r="N82" s="7">
        <f>VLOOKUP(M82,Sheet4!A:B,2,0)</f>
        <v>10</v>
      </c>
      <c r="O82" s="7">
        <v>0</v>
      </c>
      <c r="P82" s="7">
        <v>1.14</v>
      </c>
    </row>
    <row r="83" ht="15.3" spans="1:16">
      <c r="A83" s="12">
        <v>10.07</v>
      </c>
      <c r="B83" s="18">
        <v>20</v>
      </c>
      <c r="C83" s="14">
        <v>1</v>
      </c>
      <c r="D83" s="15">
        <v>1542</v>
      </c>
      <c r="E83" s="14">
        <v>2903</v>
      </c>
      <c r="F83" s="19">
        <f t="shared" si="1"/>
        <v>4445</v>
      </c>
      <c r="G83" s="7">
        <v>21.1</v>
      </c>
      <c r="H83" s="7" t="s">
        <v>16</v>
      </c>
      <c r="I83" s="7">
        <f>VLOOKUP(H83,Sheet4!A:B,2,0)</f>
        <v>10</v>
      </c>
      <c r="J83" s="7">
        <v>0</v>
      </c>
      <c r="K83" s="7">
        <v>5.26</v>
      </c>
      <c r="L83" s="7">
        <v>17.66</v>
      </c>
      <c r="M83" s="7" t="s">
        <v>16</v>
      </c>
      <c r="N83" s="7">
        <f>VLOOKUP(M83,Sheet4!A:B,2,0)</f>
        <v>10</v>
      </c>
      <c r="O83" s="7">
        <v>0</v>
      </c>
      <c r="P83" s="7">
        <v>1.1</v>
      </c>
    </row>
    <row r="84" ht="15.3" spans="1:16">
      <c r="A84" s="12">
        <v>10.07</v>
      </c>
      <c r="B84" s="18">
        <v>22</v>
      </c>
      <c r="C84" s="14">
        <v>1</v>
      </c>
      <c r="D84" s="15">
        <v>1543</v>
      </c>
      <c r="E84" s="14">
        <v>2549</v>
      </c>
      <c r="F84" s="19">
        <f t="shared" si="1"/>
        <v>4092</v>
      </c>
      <c r="G84" s="7">
        <v>21.45</v>
      </c>
      <c r="H84" s="7" t="s">
        <v>16</v>
      </c>
      <c r="I84" s="7">
        <f>VLOOKUP(H84,Sheet4!A:B,2,0)</f>
        <v>10</v>
      </c>
      <c r="J84" s="7">
        <v>0</v>
      </c>
      <c r="K84" s="7">
        <v>5.74</v>
      </c>
      <c r="L84" s="7">
        <v>16.56</v>
      </c>
      <c r="M84" s="7" t="s">
        <v>16</v>
      </c>
      <c r="N84" s="7">
        <f>VLOOKUP(M84,Sheet4!A:B,2,0)</f>
        <v>10</v>
      </c>
      <c r="O84" s="7">
        <v>0</v>
      </c>
      <c r="P84" s="7">
        <v>1.06</v>
      </c>
    </row>
    <row r="85" ht="15.3" spans="1:16">
      <c r="A85" s="12">
        <v>10.07</v>
      </c>
      <c r="B85" s="20">
        <v>24</v>
      </c>
      <c r="C85" s="14">
        <v>1</v>
      </c>
      <c r="D85" s="15">
        <v>1342</v>
      </c>
      <c r="E85" s="14">
        <v>1755</v>
      </c>
      <c r="F85" s="19">
        <f t="shared" si="1"/>
        <v>3097</v>
      </c>
      <c r="G85" s="7">
        <v>20.95</v>
      </c>
      <c r="H85" s="7" t="s">
        <v>16</v>
      </c>
      <c r="I85" s="7">
        <f>VLOOKUP(H85,Sheet4!A:B,2,0)</f>
        <v>10</v>
      </c>
      <c r="J85" s="7">
        <v>0</v>
      </c>
      <c r="K85" s="7">
        <v>4.91</v>
      </c>
      <c r="L85" s="7">
        <v>15.86</v>
      </c>
      <c r="M85" s="7" t="s">
        <v>16</v>
      </c>
      <c r="N85" s="7">
        <f>VLOOKUP(M85,Sheet4!A:B,2,0)</f>
        <v>10</v>
      </c>
      <c r="O85" s="7">
        <v>0</v>
      </c>
      <c r="P85" s="7">
        <v>1.23</v>
      </c>
    </row>
    <row r="86" ht="15.3" spans="1:16">
      <c r="A86" s="12">
        <v>10.08</v>
      </c>
      <c r="B86" s="18">
        <v>2</v>
      </c>
      <c r="C86" s="14">
        <v>0</v>
      </c>
      <c r="D86" s="15">
        <v>977</v>
      </c>
      <c r="E86" s="14">
        <v>1035</v>
      </c>
      <c r="F86" s="19">
        <f t="shared" si="1"/>
        <v>2012</v>
      </c>
      <c r="G86" s="7">
        <v>19.65</v>
      </c>
      <c r="H86" s="7" t="s">
        <v>16</v>
      </c>
      <c r="I86" s="7">
        <f>VLOOKUP(H86,Sheet4!A:B,2,0)</f>
        <v>10</v>
      </c>
      <c r="J86" s="7">
        <v>0</v>
      </c>
      <c r="K86" s="7">
        <v>4.19</v>
      </c>
      <c r="L86" s="7">
        <v>16.61</v>
      </c>
      <c r="M86" s="7" t="s">
        <v>16</v>
      </c>
      <c r="N86" s="7">
        <f>VLOOKUP(M86,Sheet4!A:B,2,0)</f>
        <v>10</v>
      </c>
      <c r="O86" s="7">
        <v>0</v>
      </c>
      <c r="P86" s="7">
        <v>1.12</v>
      </c>
    </row>
    <row r="87" ht="15.3" spans="1:16">
      <c r="A87" s="12">
        <v>10.08</v>
      </c>
      <c r="B87" s="18">
        <v>4</v>
      </c>
      <c r="C87" s="14">
        <v>0</v>
      </c>
      <c r="D87" s="15">
        <v>913</v>
      </c>
      <c r="E87" s="14">
        <v>906</v>
      </c>
      <c r="F87" s="19">
        <f t="shared" si="1"/>
        <v>1819</v>
      </c>
      <c r="G87" s="7">
        <v>20.4</v>
      </c>
      <c r="H87" s="7" t="s">
        <v>16</v>
      </c>
      <c r="I87" s="7">
        <f>VLOOKUP(H87,Sheet4!A:B,2,0)</f>
        <v>10</v>
      </c>
      <c r="J87" s="7">
        <v>0</v>
      </c>
      <c r="K87" s="7">
        <v>7.58</v>
      </c>
      <c r="L87" s="7">
        <v>17.51</v>
      </c>
      <c r="M87" s="7" t="s">
        <v>16</v>
      </c>
      <c r="N87" s="7">
        <f>VLOOKUP(M87,Sheet4!A:B,2,0)</f>
        <v>10</v>
      </c>
      <c r="O87" s="7">
        <v>0</v>
      </c>
      <c r="P87" s="7">
        <v>1.27</v>
      </c>
    </row>
    <row r="88" ht="15.3" spans="1:16">
      <c r="A88" s="12">
        <v>10.08</v>
      </c>
      <c r="B88" s="18">
        <v>6</v>
      </c>
      <c r="C88" s="14">
        <v>0</v>
      </c>
      <c r="D88" s="15">
        <v>1001</v>
      </c>
      <c r="E88" s="14">
        <v>1200</v>
      </c>
      <c r="F88" s="19">
        <f t="shared" si="1"/>
        <v>2201</v>
      </c>
      <c r="G88" s="7">
        <v>20.75</v>
      </c>
      <c r="H88" s="7" t="s">
        <v>19</v>
      </c>
      <c r="I88" s="7">
        <f>VLOOKUP(H88,Sheet4!A:B,2,0)</f>
        <v>8</v>
      </c>
      <c r="J88" s="7">
        <v>0</v>
      </c>
      <c r="K88" s="7">
        <v>14.63</v>
      </c>
      <c r="L88" s="7">
        <v>17.51</v>
      </c>
      <c r="M88" s="7" t="s">
        <v>16</v>
      </c>
      <c r="N88" s="7">
        <f>VLOOKUP(M88,Sheet4!A:B,2,0)</f>
        <v>10</v>
      </c>
      <c r="O88" s="7">
        <v>0.2</v>
      </c>
      <c r="P88" s="7">
        <v>1.91</v>
      </c>
    </row>
    <row r="89" ht="15.3" spans="1:16">
      <c r="A89" s="12">
        <v>10.08</v>
      </c>
      <c r="B89" s="18">
        <v>8</v>
      </c>
      <c r="C89" s="14">
        <v>0</v>
      </c>
      <c r="D89" s="15">
        <v>1346</v>
      </c>
      <c r="E89" s="14">
        <v>2273</v>
      </c>
      <c r="F89" s="19">
        <f t="shared" si="1"/>
        <v>3619</v>
      </c>
      <c r="G89" s="7">
        <v>19.5</v>
      </c>
      <c r="H89" s="7" t="s">
        <v>19</v>
      </c>
      <c r="I89" s="7">
        <f>VLOOKUP(H89,Sheet4!A:B,2,0)</f>
        <v>8</v>
      </c>
      <c r="J89" s="7">
        <v>0</v>
      </c>
      <c r="K89" s="7">
        <v>14.14</v>
      </c>
      <c r="L89" s="7">
        <v>17.86</v>
      </c>
      <c r="M89" s="7" t="s">
        <v>16</v>
      </c>
      <c r="N89" s="7">
        <f>VLOOKUP(M89,Sheet4!A:B,2,0)</f>
        <v>10</v>
      </c>
      <c r="O89" s="7">
        <v>0</v>
      </c>
      <c r="P89" s="7">
        <v>1.79</v>
      </c>
    </row>
    <row r="90" ht="15.3" spans="1:16">
      <c r="A90" s="12">
        <v>10.08</v>
      </c>
      <c r="B90" s="18">
        <v>10</v>
      </c>
      <c r="C90" s="14">
        <v>0</v>
      </c>
      <c r="D90" s="15">
        <v>1379</v>
      </c>
      <c r="E90" s="14">
        <v>3324</v>
      </c>
      <c r="F90" s="19">
        <f t="shared" si="1"/>
        <v>4703</v>
      </c>
      <c r="G90" s="7">
        <v>18.3</v>
      </c>
      <c r="H90" s="7" t="s">
        <v>16</v>
      </c>
      <c r="I90" s="7">
        <f>VLOOKUP(H90,Sheet4!A:B,2,0)</f>
        <v>10</v>
      </c>
      <c r="J90" s="7">
        <v>0.2</v>
      </c>
      <c r="K90" s="7">
        <v>14.72</v>
      </c>
      <c r="L90" s="7">
        <v>19.71</v>
      </c>
      <c r="M90" s="7" t="s">
        <v>16</v>
      </c>
      <c r="N90" s="7">
        <f>VLOOKUP(M90,Sheet4!A:B,2,0)</f>
        <v>10</v>
      </c>
      <c r="O90" s="7">
        <v>0</v>
      </c>
      <c r="P90" s="7">
        <v>1.5</v>
      </c>
    </row>
    <row r="91" ht="15.3" spans="1:16">
      <c r="A91" s="12">
        <v>10.08</v>
      </c>
      <c r="B91" s="18">
        <v>12</v>
      </c>
      <c r="C91" s="14">
        <v>0</v>
      </c>
      <c r="D91" s="15">
        <v>1701</v>
      </c>
      <c r="E91" s="14">
        <v>4104</v>
      </c>
      <c r="F91" s="19">
        <f t="shared" si="1"/>
        <v>5805</v>
      </c>
      <c r="G91" s="7">
        <v>17.75</v>
      </c>
      <c r="H91" s="7" t="s">
        <v>16</v>
      </c>
      <c r="I91" s="7">
        <f>VLOOKUP(H91,Sheet4!A:B,2,0)</f>
        <v>10</v>
      </c>
      <c r="J91" s="7">
        <v>0</v>
      </c>
      <c r="K91" s="7">
        <v>14.29</v>
      </c>
      <c r="L91" s="7">
        <v>20.66</v>
      </c>
      <c r="M91" s="7" t="s">
        <v>16</v>
      </c>
      <c r="N91" s="7">
        <f>VLOOKUP(M91,Sheet4!A:B,2,0)</f>
        <v>10</v>
      </c>
      <c r="O91" s="7">
        <v>0.2</v>
      </c>
      <c r="P91" s="7">
        <v>4.29</v>
      </c>
    </row>
    <row r="92" ht="15.3" spans="1:16">
      <c r="A92" s="12">
        <v>10.08</v>
      </c>
      <c r="B92" s="18">
        <v>14</v>
      </c>
      <c r="C92" s="14">
        <v>0</v>
      </c>
      <c r="D92" s="15">
        <v>1724</v>
      </c>
      <c r="E92" s="14">
        <v>4142</v>
      </c>
      <c r="F92" s="19">
        <f t="shared" si="1"/>
        <v>5866</v>
      </c>
      <c r="G92" s="7">
        <v>17.6</v>
      </c>
      <c r="H92" s="7" t="s">
        <v>16</v>
      </c>
      <c r="I92" s="7">
        <f>VLOOKUP(H92,Sheet4!A:B,2,0)</f>
        <v>10</v>
      </c>
      <c r="J92" s="7">
        <v>0</v>
      </c>
      <c r="K92" s="7">
        <v>13.36</v>
      </c>
      <c r="L92" s="7">
        <v>19.66</v>
      </c>
      <c r="M92" s="7" t="s">
        <v>18</v>
      </c>
      <c r="N92" s="7">
        <f>VLOOKUP(M92,Sheet4!A:B,2,0)</f>
        <v>6</v>
      </c>
      <c r="O92" s="7">
        <v>0.1</v>
      </c>
      <c r="P92" s="7">
        <v>4.7</v>
      </c>
    </row>
    <row r="93" ht="15.3" spans="1:16">
      <c r="A93" s="12">
        <v>10.08</v>
      </c>
      <c r="B93" s="18">
        <v>16</v>
      </c>
      <c r="C93" s="14">
        <v>0</v>
      </c>
      <c r="D93" s="15">
        <v>1793</v>
      </c>
      <c r="E93" s="14">
        <v>3737</v>
      </c>
      <c r="F93" s="19">
        <f t="shared" si="1"/>
        <v>5530</v>
      </c>
      <c r="G93" s="7">
        <v>17.7</v>
      </c>
      <c r="H93" s="7" t="s">
        <v>16</v>
      </c>
      <c r="I93" s="7">
        <f>VLOOKUP(H93,Sheet4!A:B,2,0)</f>
        <v>10</v>
      </c>
      <c r="J93" s="7">
        <v>0</v>
      </c>
      <c r="K93" s="7">
        <v>13.16</v>
      </c>
      <c r="L93" s="7">
        <v>18.91</v>
      </c>
      <c r="M93" s="7" t="s">
        <v>18</v>
      </c>
      <c r="N93" s="7">
        <f>VLOOKUP(M93,Sheet4!A:B,2,0)</f>
        <v>6</v>
      </c>
      <c r="O93" s="7">
        <v>0.1</v>
      </c>
      <c r="P93" s="7">
        <v>5.43</v>
      </c>
    </row>
    <row r="94" ht="15.3" spans="1:16">
      <c r="A94" s="12">
        <v>10.08</v>
      </c>
      <c r="B94" s="18">
        <v>18</v>
      </c>
      <c r="C94" s="14">
        <v>0</v>
      </c>
      <c r="D94" s="15">
        <v>2195</v>
      </c>
      <c r="E94" s="14">
        <v>3311</v>
      </c>
      <c r="F94" s="19">
        <f t="shared" si="1"/>
        <v>5506</v>
      </c>
      <c r="G94" s="7">
        <v>17.25</v>
      </c>
      <c r="H94" s="7" t="s">
        <v>17</v>
      </c>
      <c r="I94" s="7">
        <f>VLOOKUP(H94,Sheet4!A:B,2,0)</f>
        <v>5</v>
      </c>
      <c r="J94" s="7">
        <v>0.4</v>
      </c>
      <c r="K94" s="7">
        <v>13.54</v>
      </c>
      <c r="L94" s="7">
        <v>18.26</v>
      </c>
      <c r="M94" s="7" t="s">
        <v>17</v>
      </c>
      <c r="N94" s="7">
        <f>VLOOKUP(M94,Sheet4!A:B,2,0)</f>
        <v>5</v>
      </c>
      <c r="O94" s="7">
        <v>0.5</v>
      </c>
      <c r="P94" s="7">
        <v>5.06</v>
      </c>
    </row>
    <row r="95" ht="15.3" spans="1:16">
      <c r="A95" s="12">
        <v>10.08</v>
      </c>
      <c r="B95" s="18">
        <v>20</v>
      </c>
      <c r="C95" s="14">
        <v>0</v>
      </c>
      <c r="D95" s="15">
        <v>1272</v>
      </c>
      <c r="E95" s="14">
        <v>2224</v>
      </c>
      <c r="F95" s="19">
        <f t="shared" si="1"/>
        <v>3496</v>
      </c>
      <c r="G95" s="7">
        <v>17.45</v>
      </c>
      <c r="H95" s="7" t="s">
        <v>17</v>
      </c>
      <c r="I95" s="7">
        <f>VLOOKUP(H95,Sheet4!A:B,2,0)</f>
        <v>5</v>
      </c>
      <c r="J95" s="7">
        <v>0.4</v>
      </c>
      <c r="K95" s="7">
        <v>14.3</v>
      </c>
      <c r="L95" s="7">
        <v>16.51</v>
      </c>
      <c r="M95" s="7" t="s">
        <v>18</v>
      </c>
      <c r="N95" s="7">
        <f>VLOOKUP(M95,Sheet4!A:B,2,0)</f>
        <v>6</v>
      </c>
      <c r="O95" s="7">
        <v>0.3</v>
      </c>
      <c r="P95" s="7">
        <v>5.86</v>
      </c>
    </row>
    <row r="96" ht="15.3" spans="1:16">
      <c r="A96" s="12">
        <v>10.08</v>
      </c>
      <c r="B96" s="18">
        <v>22</v>
      </c>
      <c r="C96" s="14">
        <v>0</v>
      </c>
      <c r="D96" s="15">
        <v>859</v>
      </c>
      <c r="E96" s="14">
        <v>1371</v>
      </c>
      <c r="F96" s="19">
        <f t="shared" si="1"/>
        <v>2230</v>
      </c>
      <c r="G96" s="7">
        <v>17.25</v>
      </c>
      <c r="H96" s="7" t="s">
        <v>17</v>
      </c>
      <c r="I96" s="7">
        <f>VLOOKUP(H96,Sheet4!A:B,2,0)</f>
        <v>5</v>
      </c>
      <c r="J96" s="7">
        <v>1.2</v>
      </c>
      <c r="K96" s="7">
        <v>15.3</v>
      </c>
      <c r="L96" s="7">
        <v>16.51</v>
      </c>
      <c r="M96" s="7" t="s">
        <v>18</v>
      </c>
      <c r="N96" s="7">
        <f>VLOOKUP(M96,Sheet4!A:B,2,0)</f>
        <v>6</v>
      </c>
      <c r="O96" s="7">
        <v>0.2</v>
      </c>
      <c r="P96" s="7">
        <v>4.96</v>
      </c>
    </row>
    <row r="97" ht="15.3" spans="1:16">
      <c r="A97" s="12">
        <v>10.08</v>
      </c>
      <c r="B97" s="20">
        <v>24</v>
      </c>
      <c r="C97" s="14">
        <v>0</v>
      </c>
      <c r="D97" s="15">
        <v>645</v>
      </c>
      <c r="E97" s="14">
        <v>835</v>
      </c>
      <c r="F97" s="19">
        <f t="shared" si="1"/>
        <v>1480</v>
      </c>
      <c r="G97" s="7">
        <v>16.7</v>
      </c>
      <c r="H97" s="7" t="s">
        <v>20</v>
      </c>
      <c r="I97" s="7">
        <f>VLOOKUP(H97,Sheet4!A:B,2,0)</f>
        <v>4</v>
      </c>
      <c r="J97" s="7">
        <v>1.4</v>
      </c>
      <c r="K97" s="7">
        <v>14.83</v>
      </c>
      <c r="L97" s="7">
        <v>16.46</v>
      </c>
      <c r="M97" s="7" t="s">
        <v>17</v>
      </c>
      <c r="N97" s="7">
        <f>VLOOKUP(M97,Sheet4!A:B,2,0)</f>
        <v>5</v>
      </c>
      <c r="O97" s="7">
        <v>1.1</v>
      </c>
      <c r="P97" s="7">
        <v>4.92</v>
      </c>
    </row>
    <row r="98" ht="15.3" spans="1:16">
      <c r="A98" s="12">
        <v>10.09</v>
      </c>
      <c r="B98" s="18">
        <v>2</v>
      </c>
      <c r="C98" s="14">
        <v>0</v>
      </c>
      <c r="D98" s="15">
        <v>532</v>
      </c>
      <c r="E98" s="14">
        <v>513</v>
      </c>
      <c r="F98" s="19">
        <f t="shared" si="1"/>
        <v>1045</v>
      </c>
      <c r="G98" s="7">
        <v>16.75</v>
      </c>
      <c r="H98" s="7" t="s">
        <v>17</v>
      </c>
      <c r="I98" s="7">
        <f>VLOOKUP(H98,Sheet4!A:B,2,0)</f>
        <v>5</v>
      </c>
      <c r="J98" s="7">
        <v>1.1</v>
      </c>
      <c r="K98" s="7">
        <v>14.55</v>
      </c>
      <c r="L98" s="7">
        <v>16.36</v>
      </c>
      <c r="M98" s="7" t="s">
        <v>17</v>
      </c>
      <c r="N98" s="7">
        <f>VLOOKUP(M98,Sheet4!A:B,2,0)</f>
        <v>5</v>
      </c>
      <c r="O98" s="7">
        <v>0.8</v>
      </c>
      <c r="P98" s="7">
        <v>5.63</v>
      </c>
    </row>
    <row r="99" ht="15.3" spans="1:16">
      <c r="A99" s="12">
        <v>10.09</v>
      </c>
      <c r="B99" s="18">
        <v>4</v>
      </c>
      <c r="C99" s="14">
        <v>0</v>
      </c>
      <c r="D99" s="15">
        <v>350</v>
      </c>
      <c r="E99" s="14">
        <v>428</v>
      </c>
      <c r="F99" s="19">
        <f t="shared" si="1"/>
        <v>778</v>
      </c>
      <c r="G99" s="7">
        <v>16.85</v>
      </c>
      <c r="H99" s="7" t="s">
        <v>17</v>
      </c>
      <c r="I99" s="7">
        <f>VLOOKUP(H99,Sheet4!A:B,2,0)</f>
        <v>5</v>
      </c>
      <c r="J99" s="7">
        <v>0.7</v>
      </c>
      <c r="K99" s="7">
        <v>13.57</v>
      </c>
      <c r="L99" s="7">
        <v>16.36</v>
      </c>
      <c r="M99" s="7" t="s">
        <v>17</v>
      </c>
      <c r="N99" s="7">
        <f>VLOOKUP(M99,Sheet4!A:B,2,0)</f>
        <v>5</v>
      </c>
      <c r="O99" s="7">
        <v>0.6</v>
      </c>
      <c r="P99" s="7">
        <v>4.8</v>
      </c>
    </row>
    <row r="100" ht="15.3" spans="1:16">
      <c r="A100" s="12">
        <v>10.09</v>
      </c>
      <c r="B100" s="18">
        <v>6</v>
      </c>
      <c r="C100" s="14">
        <v>0</v>
      </c>
      <c r="D100" s="15">
        <v>430</v>
      </c>
      <c r="E100" s="14">
        <v>636</v>
      </c>
      <c r="F100" s="19">
        <f t="shared" si="1"/>
        <v>1066</v>
      </c>
      <c r="G100" s="7">
        <v>17.3</v>
      </c>
      <c r="H100" s="7" t="s">
        <v>20</v>
      </c>
      <c r="I100" s="7">
        <f>VLOOKUP(H100,Sheet4!A:B,2,0)</f>
        <v>4</v>
      </c>
      <c r="J100" s="7">
        <v>2.2</v>
      </c>
      <c r="K100" s="7">
        <v>12.59</v>
      </c>
      <c r="L100" s="7">
        <v>15.91</v>
      </c>
      <c r="M100" s="7" t="s">
        <v>20</v>
      </c>
      <c r="N100" s="7">
        <f>VLOOKUP(M100,Sheet4!A:B,2,0)</f>
        <v>4</v>
      </c>
      <c r="O100" s="7">
        <v>1.8</v>
      </c>
      <c r="P100" s="7">
        <v>4.42</v>
      </c>
    </row>
    <row r="101" ht="15.3" spans="1:16">
      <c r="A101" s="12">
        <v>10.09</v>
      </c>
      <c r="B101" s="18">
        <v>8</v>
      </c>
      <c r="C101" s="14">
        <v>0</v>
      </c>
      <c r="D101" s="15">
        <v>790</v>
      </c>
      <c r="E101" s="14">
        <v>1365</v>
      </c>
      <c r="F101" s="19">
        <f t="shared" si="1"/>
        <v>2155</v>
      </c>
      <c r="G101" s="7">
        <v>17.2</v>
      </c>
      <c r="H101" s="7" t="s">
        <v>17</v>
      </c>
      <c r="I101" s="7">
        <f>VLOOKUP(H101,Sheet4!A:B,2,0)</f>
        <v>5</v>
      </c>
      <c r="J101" s="7">
        <v>1</v>
      </c>
      <c r="K101" s="7">
        <v>12.15</v>
      </c>
      <c r="L101" s="7">
        <v>15.36</v>
      </c>
      <c r="M101" s="7" t="s">
        <v>20</v>
      </c>
      <c r="N101" s="7">
        <f>VLOOKUP(M101,Sheet4!A:B,2,0)</f>
        <v>4</v>
      </c>
      <c r="O101" s="7">
        <v>2.1</v>
      </c>
      <c r="P101" s="7">
        <v>4.74</v>
      </c>
    </row>
    <row r="102" ht="15.3" spans="1:16">
      <c r="A102" s="12">
        <v>10.09</v>
      </c>
      <c r="B102" s="18">
        <v>10</v>
      </c>
      <c r="C102" s="14">
        <v>0</v>
      </c>
      <c r="D102" s="15">
        <v>967</v>
      </c>
      <c r="E102" s="14">
        <v>1790</v>
      </c>
      <c r="F102" s="19">
        <f t="shared" si="1"/>
        <v>2757</v>
      </c>
      <c r="G102" s="7">
        <v>16.1</v>
      </c>
      <c r="H102" s="7" t="s">
        <v>20</v>
      </c>
      <c r="I102" s="7">
        <f>VLOOKUP(H102,Sheet4!A:B,2,0)</f>
        <v>4</v>
      </c>
      <c r="J102" s="7">
        <v>1.8</v>
      </c>
      <c r="K102" s="7">
        <v>13.74</v>
      </c>
      <c r="L102" s="7">
        <v>15.76</v>
      </c>
      <c r="M102" s="7" t="s">
        <v>20</v>
      </c>
      <c r="N102" s="7">
        <f>VLOOKUP(M102,Sheet4!A:B,2,0)</f>
        <v>4</v>
      </c>
      <c r="O102" s="7">
        <v>1.7</v>
      </c>
      <c r="P102" s="7">
        <v>4.25</v>
      </c>
    </row>
    <row r="103" ht="15.3" spans="1:16">
      <c r="A103" s="12">
        <v>10.09</v>
      </c>
      <c r="B103" s="18">
        <v>12</v>
      </c>
      <c r="C103" s="14">
        <v>0</v>
      </c>
      <c r="D103" s="15">
        <v>1300</v>
      </c>
      <c r="E103" s="14">
        <v>2404</v>
      </c>
      <c r="F103" s="19">
        <f t="shared" si="1"/>
        <v>3704</v>
      </c>
      <c r="G103" s="7">
        <v>16</v>
      </c>
      <c r="H103" s="7" t="s">
        <v>17</v>
      </c>
      <c r="I103" s="7">
        <f>VLOOKUP(H103,Sheet4!A:B,2,0)</f>
        <v>5</v>
      </c>
      <c r="J103" s="7">
        <v>0.5</v>
      </c>
      <c r="K103" s="7">
        <v>13.75</v>
      </c>
      <c r="L103" s="7">
        <v>16.56</v>
      </c>
      <c r="M103" s="7" t="s">
        <v>20</v>
      </c>
      <c r="N103" s="7">
        <f>VLOOKUP(M103,Sheet4!A:B,2,0)</f>
        <v>4</v>
      </c>
      <c r="O103" s="7">
        <v>1.7</v>
      </c>
      <c r="P103" s="7">
        <v>4.63</v>
      </c>
    </row>
    <row r="104" ht="15.3" spans="1:16">
      <c r="A104" s="12">
        <v>10.09</v>
      </c>
      <c r="B104" s="18">
        <v>14</v>
      </c>
      <c r="C104" s="14">
        <v>0</v>
      </c>
      <c r="D104" s="15">
        <v>1128</v>
      </c>
      <c r="E104" s="14">
        <v>2545</v>
      </c>
      <c r="F104" s="19">
        <f t="shared" si="1"/>
        <v>3673</v>
      </c>
      <c r="G104" s="7">
        <v>16.5</v>
      </c>
      <c r="H104" s="7" t="s">
        <v>17</v>
      </c>
      <c r="I104" s="7">
        <f>VLOOKUP(H104,Sheet4!A:B,2,0)</f>
        <v>5</v>
      </c>
      <c r="J104" s="7">
        <v>0.7</v>
      </c>
      <c r="K104" s="7">
        <v>12.81</v>
      </c>
      <c r="L104" s="7">
        <v>16.91</v>
      </c>
      <c r="M104" s="7" t="s">
        <v>17</v>
      </c>
      <c r="N104" s="7">
        <f>VLOOKUP(M104,Sheet4!A:B,2,0)</f>
        <v>5</v>
      </c>
      <c r="O104" s="7">
        <v>0.9</v>
      </c>
      <c r="P104" s="7">
        <v>4.4</v>
      </c>
    </row>
    <row r="105" ht="15.3" spans="1:16">
      <c r="A105" s="12">
        <v>10.09</v>
      </c>
      <c r="B105" s="18">
        <v>16</v>
      </c>
      <c r="C105" s="14">
        <v>0</v>
      </c>
      <c r="D105" s="15">
        <v>1347</v>
      </c>
      <c r="E105" s="14">
        <v>2509</v>
      </c>
      <c r="F105" s="19">
        <f t="shared" si="1"/>
        <v>3856</v>
      </c>
      <c r="G105" s="7">
        <v>15.95</v>
      </c>
      <c r="H105" s="7" t="s">
        <v>20</v>
      </c>
      <c r="I105" s="7">
        <f>VLOOKUP(H105,Sheet4!A:B,2,0)</f>
        <v>4</v>
      </c>
      <c r="J105" s="7">
        <v>2.1</v>
      </c>
      <c r="K105" s="7">
        <v>12.69</v>
      </c>
      <c r="L105" s="7">
        <v>16.56</v>
      </c>
      <c r="M105" s="7" t="s">
        <v>20</v>
      </c>
      <c r="N105" s="7">
        <f>VLOOKUP(M105,Sheet4!A:B,2,0)</f>
        <v>4</v>
      </c>
      <c r="O105" s="7">
        <v>1.5</v>
      </c>
      <c r="P105" s="7">
        <v>4.28</v>
      </c>
    </row>
    <row r="106" ht="15.3" spans="1:16">
      <c r="A106" s="12">
        <v>10.09</v>
      </c>
      <c r="B106" s="18">
        <v>18</v>
      </c>
      <c r="C106" s="14">
        <v>0</v>
      </c>
      <c r="D106" s="15">
        <v>1158</v>
      </c>
      <c r="E106" s="14">
        <v>2181</v>
      </c>
      <c r="F106" s="19">
        <f t="shared" si="1"/>
        <v>3339</v>
      </c>
      <c r="G106" s="7">
        <v>15.4</v>
      </c>
      <c r="H106" s="7" t="s">
        <v>20</v>
      </c>
      <c r="I106" s="7">
        <f>VLOOKUP(H106,Sheet4!A:B,2,0)</f>
        <v>4</v>
      </c>
      <c r="J106" s="7">
        <v>2.1</v>
      </c>
      <c r="K106" s="7">
        <v>12.28</v>
      </c>
      <c r="L106" s="7">
        <v>16.11</v>
      </c>
      <c r="M106" s="7" t="s">
        <v>17</v>
      </c>
      <c r="N106" s="7">
        <f>VLOOKUP(M106,Sheet4!A:B,2,0)</f>
        <v>5</v>
      </c>
      <c r="O106" s="7">
        <v>1.1</v>
      </c>
      <c r="P106" s="7">
        <v>5.38</v>
      </c>
    </row>
    <row r="107" ht="15.3" spans="1:16">
      <c r="A107" s="12">
        <v>10.09</v>
      </c>
      <c r="B107" s="18">
        <v>20</v>
      </c>
      <c r="C107" s="14">
        <v>0</v>
      </c>
      <c r="D107" s="15">
        <v>487</v>
      </c>
      <c r="E107" s="14">
        <v>1735</v>
      </c>
      <c r="F107" s="19">
        <f t="shared" si="1"/>
        <v>2222</v>
      </c>
      <c r="G107" s="7">
        <v>15.05</v>
      </c>
      <c r="H107" s="7" t="s">
        <v>20</v>
      </c>
      <c r="I107" s="7">
        <f>VLOOKUP(H107,Sheet4!A:B,2,0)</f>
        <v>4</v>
      </c>
      <c r="J107" s="7">
        <v>1.7</v>
      </c>
      <c r="K107" s="7">
        <v>12.63</v>
      </c>
      <c r="L107" s="7">
        <v>15.91</v>
      </c>
      <c r="M107" s="7" t="s">
        <v>17</v>
      </c>
      <c r="N107" s="7">
        <f>VLOOKUP(M107,Sheet4!A:B,2,0)</f>
        <v>5</v>
      </c>
      <c r="O107" s="7">
        <v>0.4</v>
      </c>
      <c r="P107" s="7">
        <v>5.33</v>
      </c>
    </row>
    <row r="108" ht="15.3" spans="1:16">
      <c r="A108" s="12">
        <v>10.09</v>
      </c>
      <c r="B108" s="18">
        <v>22</v>
      </c>
      <c r="C108" s="14">
        <v>0</v>
      </c>
      <c r="D108" s="15">
        <v>1251</v>
      </c>
      <c r="E108" s="14">
        <v>1363</v>
      </c>
      <c r="F108" s="19">
        <f t="shared" si="1"/>
        <v>2614</v>
      </c>
      <c r="G108" s="7">
        <v>15.95</v>
      </c>
      <c r="H108" s="7" t="s">
        <v>17</v>
      </c>
      <c r="I108" s="7">
        <f>VLOOKUP(H108,Sheet4!A:B,2,0)</f>
        <v>5</v>
      </c>
      <c r="J108" s="7">
        <v>1</v>
      </c>
      <c r="K108" s="7">
        <v>12.46</v>
      </c>
      <c r="L108" s="7">
        <v>15.86</v>
      </c>
      <c r="M108" s="7" t="s">
        <v>18</v>
      </c>
      <c r="N108" s="7">
        <f>VLOOKUP(M108,Sheet4!A:B,2,0)</f>
        <v>6</v>
      </c>
      <c r="O108" s="7">
        <v>0.1</v>
      </c>
      <c r="P108" s="7">
        <v>4.58</v>
      </c>
    </row>
    <row r="109" ht="15.3" spans="1:16">
      <c r="A109" s="12">
        <v>10.09</v>
      </c>
      <c r="B109" s="20">
        <v>24</v>
      </c>
      <c r="C109" s="14">
        <v>0</v>
      </c>
      <c r="D109" s="15">
        <v>705</v>
      </c>
      <c r="E109" s="14">
        <v>978</v>
      </c>
      <c r="F109" s="19">
        <f t="shared" si="1"/>
        <v>1683</v>
      </c>
      <c r="G109" s="7">
        <v>15.95</v>
      </c>
      <c r="H109" s="7" t="s">
        <v>17</v>
      </c>
      <c r="I109" s="7">
        <f>VLOOKUP(H109,Sheet4!A:B,2,0)</f>
        <v>5</v>
      </c>
      <c r="J109" s="7">
        <v>1</v>
      </c>
      <c r="K109" s="7">
        <v>11.29</v>
      </c>
      <c r="L109" s="7">
        <v>15.76</v>
      </c>
      <c r="M109" s="7" t="s">
        <v>17</v>
      </c>
      <c r="N109" s="7">
        <f>VLOOKUP(M109,Sheet4!A:B,2,0)</f>
        <v>5</v>
      </c>
      <c r="O109" s="7">
        <v>0.8</v>
      </c>
      <c r="P109" s="7">
        <v>4.28</v>
      </c>
    </row>
    <row r="110" ht="15.3" spans="1:16">
      <c r="A110" s="12">
        <v>10.1</v>
      </c>
      <c r="B110" s="18">
        <v>2</v>
      </c>
      <c r="C110" s="14">
        <v>0</v>
      </c>
      <c r="D110" s="15">
        <v>463</v>
      </c>
      <c r="E110" s="14">
        <v>548</v>
      </c>
      <c r="F110" s="19">
        <f t="shared" si="1"/>
        <v>1011</v>
      </c>
      <c r="G110" s="7">
        <v>16.15</v>
      </c>
      <c r="H110" s="7" t="s">
        <v>20</v>
      </c>
      <c r="I110" s="7">
        <f>VLOOKUP(H110,Sheet4!A:B,2,0)</f>
        <v>4</v>
      </c>
      <c r="J110" s="7">
        <v>1.5</v>
      </c>
      <c r="K110" s="7">
        <v>11.51</v>
      </c>
      <c r="L110" s="7">
        <v>15.96</v>
      </c>
      <c r="M110" s="7" t="s">
        <v>17</v>
      </c>
      <c r="N110" s="7">
        <f>VLOOKUP(M110,Sheet4!A:B,2,0)</f>
        <v>5</v>
      </c>
      <c r="O110" s="7">
        <v>0.6</v>
      </c>
      <c r="P110" s="7">
        <v>4.44</v>
      </c>
    </row>
    <row r="111" ht="15.3" spans="1:16">
      <c r="A111" s="12">
        <v>10.1</v>
      </c>
      <c r="B111" s="18">
        <v>4</v>
      </c>
      <c r="C111" s="14">
        <v>0</v>
      </c>
      <c r="D111" s="15">
        <v>390</v>
      </c>
      <c r="E111" s="14">
        <v>426</v>
      </c>
      <c r="F111" s="19">
        <f t="shared" si="1"/>
        <v>816</v>
      </c>
      <c r="G111" s="7">
        <v>14.8</v>
      </c>
      <c r="H111" s="7" t="s">
        <v>17</v>
      </c>
      <c r="I111" s="7">
        <f>VLOOKUP(H111,Sheet4!A:B,2,0)</f>
        <v>5</v>
      </c>
      <c r="J111" s="7">
        <v>1.1</v>
      </c>
      <c r="K111" s="7">
        <v>12.21</v>
      </c>
      <c r="L111" s="7">
        <v>15.81</v>
      </c>
      <c r="M111" s="7" t="s">
        <v>21</v>
      </c>
      <c r="N111" s="7">
        <f>VLOOKUP(M111,Sheet4!A:B,2,0)</f>
        <v>2</v>
      </c>
      <c r="O111" s="7">
        <v>4.3</v>
      </c>
      <c r="P111" s="7">
        <v>4.27</v>
      </c>
    </row>
    <row r="112" ht="15.3" spans="1:16">
      <c r="A112" s="12">
        <v>10.1</v>
      </c>
      <c r="B112" s="18">
        <v>6</v>
      </c>
      <c r="C112" s="14">
        <v>0</v>
      </c>
      <c r="D112" s="15">
        <v>412</v>
      </c>
      <c r="E112" s="14">
        <v>606</v>
      </c>
      <c r="F112" s="19">
        <f t="shared" si="1"/>
        <v>1018</v>
      </c>
      <c r="G112" s="7">
        <v>14.2</v>
      </c>
      <c r="H112" s="7" t="s">
        <v>17</v>
      </c>
      <c r="I112" s="7">
        <f>VLOOKUP(H112,Sheet4!A:B,2,0)</f>
        <v>5</v>
      </c>
      <c r="J112" s="7">
        <v>0.5</v>
      </c>
      <c r="K112" s="7">
        <v>11.27</v>
      </c>
      <c r="L112" s="7">
        <v>16.01</v>
      </c>
      <c r="M112" s="7" t="s">
        <v>17</v>
      </c>
      <c r="N112" s="7">
        <f>VLOOKUP(M112,Sheet4!A:B,2,0)</f>
        <v>5</v>
      </c>
      <c r="O112" s="7">
        <v>0.6</v>
      </c>
      <c r="P112" s="7">
        <v>5.53</v>
      </c>
    </row>
    <row r="113" ht="15.3" spans="1:16">
      <c r="A113" s="12">
        <v>10.1</v>
      </c>
      <c r="B113" s="18">
        <v>8</v>
      </c>
      <c r="C113" s="14">
        <v>0</v>
      </c>
      <c r="D113" s="15">
        <v>835</v>
      </c>
      <c r="E113" s="14">
        <v>1297</v>
      </c>
      <c r="F113" s="19">
        <f t="shared" si="1"/>
        <v>2132</v>
      </c>
      <c r="G113" s="7">
        <v>15</v>
      </c>
      <c r="H113" s="7" t="s">
        <v>17</v>
      </c>
      <c r="I113" s="7">
        <f>VLOOKUP(H113,Sheet4!A:B,2,0)</f>
        <v>5</v>
      </c>
      <c r="J113" s="7">
        <v>0.7</v>
      </c>
      <c r="K113" s="7">
        <v>11.29</v>
      </c>
      <c r="L113" s="7">
        <v>16.16</v>
      </c>
      <c r="M113" s="7" t="s">
        <v>16</v>
      </c>
      <c r="N113" s="7">
        <f>VLOOKUP(M113,Sheet4!A:B,2,0)</f>
        <v>10</v>
      </c>
      <c r="O113" s="7">
        <v>0</v>
      </c>
      <c r="P113" s="7">
        <v>4.9</v>
      </c>
    </row>
    <row r="114" ht="15.3" spans="1:16">
      <c r="A114" s="12">
        <v>10.1</v>
      </c>
      <c r="B114" s="18">
        <v>10</v>
      </c>
      <c r="C114" s="14">
        <v>0</v>
      </c>
      <c r="D114" s="15">
        <v>1031</v>
      </c>
      <c r="E114" s="14">
        <v>1728</v>
      </c>
      <c r="F114" s="19">
        <f t="shared" si="1"/>
        <v>2759</v>
      </c>
      <c r="G114" s="7">
        <v>14.95</v>
      </c>
      <c r="H114" s="7" t="s">
        <v>18</v>
      </c>
      <c r="I114" s="7">
        <f>VLOOKUP(H114,Sheet4!A:B,2,0)</f>
        <v>6</v>
      </c>
      <c r="J114" s="7">
        <v>0.3</v>
      </c>
      <c r="K114" s="7">
        <v>10.76</v>
      </c>
      <c r="L114" s="7">
        <v>15.61</v>
      </c>
      <c r="M114" s="7" t="s">
        <v>17</v>
      </c>
      <c r="N114" s="7">
        <f>VLOOKUP(M114,Sheet4!A:B,2,0)</f>
        <v>5</v>
      </c>
      <c r="O114" s="7">
        <v>0.6</v>
      </c>
      <c r="P114" s="7">
        <v>4.73</v>
      </c>
    </row>
    <row r="115" ht="15.3" spans="1:16">
      <c r="A115" s="12">
        <v>10.1</v>
      </c>
      <c r="B115" s="18">
        <v>12</v>
      </c>
      <c r="C115" s="14">
        <v>0</v>
      </c>
      <c r="D115" s="15">
        <v>1172</v>
      </c>
      <c r="E115" s="14">
        <v>2226</v>
      </c>
      <c r="F115" s="19">
        <f t="shared" si="1"/>
        <v>3398</v>
      </c>
      <c r="G115" s="7">
        <v>15.35</v>
      </c>
      <c r="H115" s="7" t="s">
        <v>16</v>
      </c>
      <c r="I115" s="7">
        <f>VLOOKUP(H115,Sheet4!A:B,2,0)</f>
        <v>10</v>
      </c>
      <c r="J115" s="7">
        <v>0</v>
      </c>
      <c r="K115" s="7">
        <v>9.93</v>
      </c>
      <c r="L115" s="7">
        <v>17.36</v>
      </c>
      <c r="M115" s="7" t="s">
        <v>18</v>
      </c>
      <c r="N115" s="7">
        <f>VLOOKUP(M115,Sheet4!A:B,2,0)</f>
        <v>6</v>
      </c>
      <c r="O115" s="7">
        <v>0</v>
      </c>
      <c r="P115" s="7">
        <v>5.01</v>
      </c>
    </row>
    <row r="116" ht="15.3" spans="1:16">
      <c r="A116" s="12">
        <v>10.1</v>
      </c>
      <c r="B116" s="18">
        <v>14</v>
      </c>
      <c r="C116" s="14">
        <v>0</v>
      </c>
      <c r="D116" s="15">
        <v>1108</v>
      </c>
      <c r="E116" s="14">
        <v>2494</v>
      </c>
      <c r="F116" s="19">
        <f t="shared" si="1"/>
        <v>3602</v>
      </c>
      <c r="G116" s="7">
        <v>15.2</v>
      </c>
      <c r="H116" s="7" t="s">
        <v>17</v>
      </c>
      <c r="I116" s="7">
        <f>VLOOKUP(H116,Sheet4!A:B,2,0)</f>
        <v>5</v>
      </c>
      <c r="J116" s="7">
        <v>0.4</v>
      </c>
      <c r="K116" s="7">
        <v>9.37</v>
      </c>
      <c r="L116" s="7">
        <v>17.81</v>
      </c>
      <c r="M116" s="7" t="s">
        <v>18</v>
      </c>
      <c r="N116" s="7">
        <f>VLOOKUP(M116,Sheet4!A:B,2,0)</f>
        <v>6</v>
      </c>
      <c r="O116" s="7">
        <v>0</v>
      </c>
      <c r="P116" s="7">
        <v>5.2</v>
      </c>
    </row>
    <row r="117" ht="15.3" spans="1:16">
      <c r="A117" s="12">
        <v>10.1</v>
      </c>
      <c r="B117" s="18">
        <v>16</v>
      </c>
      <c r="C117" s="14">
        <v>0</v>
      </c>
      <c r="D117" s="15">
        <v>1260</v>
      </c>
      <c r="E117" s="14">
        <v>2445</v>
      </c>
      <c r="F117" s="19">
        <f t="shared" si="1"/>
        <v>3705</v>
      </c>
      <c r="G117" s="7">
        <v>15.75</v>
      </c>
      <c r="H117" s="7" t="s">
        <v>19</v>
      </c>
      <c r="I117" s="7">
        <f>VLOOKUP(H117,Sheet4!A:B,2,0)</f>
        <v>8</v>
      </c>
      <c r="J117" s="7">
        <v>0.1</v>
      </c>
      <c r="K117" s="7">
        <v>8.55</v>
      </c>
      <c r="L117" s="7">
        <v>16.86</v>
      </c>
      <c r="M117" s="7" t="s">
        <v>18</v>
      </c>
      <c r="N117" s="7">
        <f>VLOOKUP(M117,Sheet4!A:B,2,0)</f>
        <v>6</v>
      </c>
      <c r="O117" s="7">
        <v>0</v>
      </c>
      <c r="P117" s="7">
        <v>3.61</v>
      </c>
    </row>
    <row r="118" ht="15.3" spans="1:16">
      <c r="A118" s="12">
        <v>10.1</v>
      </c>
      <c r="B118" s="18">
        <v>18</v>
      </c>
      <c r="C118" s="14">
        <v>0</v>
      </c>
      <c r="D118" s="15">
        <v>1243</v>
      </c>
      <c r="E118" s="14">
        <v>2249</v>
      </c>
      <c r="F118" s="19">
        <f t="shared" si="1"/>
        <v>3492</v>
      </c>
      <c r="G118" s="7">
        <v>15.6</v>
      </c>
      <c r="H118" s="7" t="s">
        <v>17</v>
      </c>
      <c r="I118" s="7">
        <f>VLOOKUP(H118,Sheet4!A:B,2,0)</f>
        <v>5</v>
      </c>
      <c r="J118" s="7">
        <v>1</v>
      </c>
      <c r="K118" s="7">
        <v>8.53</v>
      </c>
      <c r="L118" s="7">
        <v>16.51</v>
      </c>
      <c r="M118" s="7" t="s">
        <v>18</v>
      </c>
      <c r="N118" s="7">
        <f>VLOOKUP(M118,Sheet4!A:B,2,0)</f>
        <v>6</v>
      </c>
      <c r="O118" s="7">
        <v>0</v>
      </c>
      <c r="P118" s="7">
        <v>3.26</v>
      </c>
    </row>
    <row r="119" ht="15.3" spans="1:16">
      <c r="A119" s="12">
        <v>10.1</v>
      </c>
      <c r="B119" s="18">
        <v>20</v>
      </c>
      <c r="C119" s="14">
        <v>0</v>
      </c>
      <c r="D119" s="15">
        <v>1155</v>
      </c>
      <c r="E119" s="14">
        <v>1685</v>
      </c>
      <c r="F119" s="19">
        <f t="shared" si="1"/>
        <v>2840</v>
      </c>
      <c r="G119" s="7">
        <v>14.8</v>
      </c>
      <c r="H119" s="7" t="s">
        <v>16</v>
      </c>
      <c r="I119" s="7">
        <f>VLOOKUP(H119,Sheet4!A:B,2,0)</f>
        <v>10</v>
      </c>
      <c r="J119" s="7">
        <v>0</v>
      </c>
      <c r="K119" s="7">
        <v>8.23</v>
      </c>
      <c r="L119" s="7">
        <v>15.96</v>
      </c>
      <c r="M119" s="7" t="s">
        <v>18</v>
      </c>
      <c r="N119" s="7">
        <f>VLOOKUP(M119,Sheet4!A:B,2,0)</f>
        <v>6</v>
      </c>
      <c r="O119" s="7">
        <v>0.1</v>
      </c>
      <c r="P119" s="7">
        <v>3.15</v>
      </c>
    </row>
    <row r="120" ht="15.3" spans="1:16">
      <c r="A120" s="12">
        <v>10.1</v>
      </c>
      <c r="B120" s="18">
        <v>22</v>
      </c>
      <c r="C120" s="14">
        <v>0</v>
      </c>
      <c r="D120" s="15">
        <v>968</v>
      </c>
      <c r="E120" s="14">
        <v>1742</v>
      </c>
      <c r="F120" s="19">
        <f t="shared" si="1"/>
        <v>2710</v>
      </c>
      <c r="G120" s="7">
        <v>13.85</v>
      </c>
      <c r="H120" s="7" t="s">
        <v>16</v>
      </c>
      <c r="I120" s="7">
        <f>VLOOKUP(H120,Sheet4!A:B,2,0)</f>
        <v>10</v>
      </c>
      <c r="J120" s="7">
        <v>0.2</v>
      </c>
      <c r="K120" s="7">
        <v>8.13</v>
      </c>
      <c r="L120" s="7">
        <v>15.26</v>
      </c>
      <c r="M120" s="7" t="s">
        <v>18</v>
      </c>
      <c r="N120" s="7">
        <f>VLOOKUP(M120,Sheet4!A:B,2,0)</f>
        <v>6</v>
      </c>
      <c r="O120" s="7">
        <v>0.2</v>
      </c>
      <c r="P120" s="7">
        <v>3.35</v>
      </c>
    </row>
    <row r="121" ht="15.3" spans="1:16">
      <c r="A121" s="12">
        <v>10.1</v>
      </c>
      <c r="B121" s="20">
        <v>24</v>
      </c>
      <c r="C121" s="14">
        <v>0</v>
      </c>
      <c r="D121" s="15">
        <v>775</v>
      </c>
      <c r="E121" s="14">
        <v>1030</v>
      </c>
      <c r="F121" s="19">
        <f t="shared" si="1"/>
        <v>1805</v>
      </c>
      <c r="G121" s="7">
        <v>13.5</v>
      </c>
      <c r="H121" s="7" t="s">
        <v>17</v>
      </c>
      <c r="I121" s="7">
        <f>VLOOKUP(H121,Sheet4!A:B,2,0)</f>
        <v>5</v>
      </c>
      <c r="J121" s="7">
        <v>0.7</v>
      </c>
      <c r="K121" s="7">
        <v>7.58</v>
      </c>
      <c r="L121" s="7">
        <v>15.41</v>
      </c>
      <c r="M121" s="7" t="s">
        <v>21</v>
      </c>
      <c r="N121" s="7">
        <f>VLOOKUP(M121,Sheet4!A:B,2,0)</f>
        <v>2</v>
      </c>
      <c r="O121" s="7">
        <v>3.1</v>
      </c>
      <c r="P121" s="7">
        <v>2.65</v>
      </c>
    </row>
    <row r="122" ht="15.3" spans="1:16">
      <c r="A122" s="12">
        <v>10.11</v>
      </c>
      <c r="B122" s="18">
        <v>2</v>
      </c>
      <c r="C122" s="14">
        <v>0</v>
      </c>
      <c r="D122" s="15">
        <v>525</v>
      </c>
      <c r="E122" s="14">
        <v>562</v>
      </c>
      <c r="F122" s="19">
        <f t="shared" si="1"/>
        <v>1087</v>
      </c>
      <c r="G122" s="7">
        <v>13.25</v>
      </c>
      <c r="H122" s="7" t="s">
        <v>17</v>
      </c>
      <c r="I122" s="7">
        <f>VLOOKUP(H122,Sheet4!A:B,2,0)</f>
        <v>5</v>
      </c>
      <c r="J122" s="7">
        <v>0.6</v>
      </c>
      <c r="K122" s="7">
        <v>8.1</v>
      </c>
      <c r="L122" s="7">
        <v>15.61</v>
      </c>
      <c r="M122" s="7" t="s">
        <v>18</v>
      </c>
      <c r="N122" s="7">
        <f>VLOOKUP(M122,Sheet4!A:B,2,0)</f>
        <v>6</v>
      </c>
      <c r="O122" s="7">
        <v>0.1</v>
      </c>
      <c r="P122" s="7">
        <v>3.71</v>
      </c>
    </row>
    <row r="123" ht="15.3" spans="1:16">
      <c r="A123" s="12">
        <v>10.11</v>
      </c>
      <c r="B123" s="18">
        <v>4</v>
      </c>
      <c r="C123" s="14">
        <v>0</v>
      </c>
      <c r="D123" s="15">
        <v>371</v>
      </c>
      <c r="E123" s="14">
        <v>470</v>
      </c>
      <c r="F123" s="19">
        <f t="shared" si="1"/>
        <v>841</v>
      </c>
      <c r="G123" s="7">
        <v>13</v>
      </c>
      <c r="H123" s="7" t="s">
        <v>17</v>
      </c>
      <c r="I123" s="7">
        <f>VLOOKUP(H123,Sheet4!A:B,2,0)</f>
        <v>5</v>
      </c>
      <c r="J123" s="7">
        <v>0.6</v>
      </c>
      <c r="K123" s="7">
        <v>6.95</v>
      </c>
      <c r="L123" s="7">
        <v>14.76</v>
      </c>
      <c r="M123" s="7" t="s">
        <v>21</v>
      </c>
      <c r="N123" s="7">
        <f>VLOOKUP(M123,Sheet4!A:B,2,0)</f>
        <v>2</v>
      </c>
      <c r="O123" s="7">
        <v>2.7</v>
      </c>
      <c r="P123" s="7">
        <v>4.55</v>
      </c>
    </row>
    <row r="124" ht="15.3" spans="1:16">
      <c r="A124" s="12">
        <v>10.11</v>
      </c>
      <c r="B124" s="18">
        <v>6</v>
      </c>
      <c r="C124" s="14">
        <v>0</v>
      </c>
      <c r="D124" s="15">
        <v>334</v>
      </c>
      <c r="E124" s="14">
        <v>636</v>
      </c>
      <c r="F124" s="19">
        <f t="shared" si="1"/>
        <v>970</v>
      </c>
      <c r="G124" s="7">
        <v>13.15</v>
      </c>
      <c r="H124" s="7" t="s">
        <v>17</v>
      </c>
      <c r="I124" s="7">
        <f>VLOOKUP(H124,Sheet4!A:B,2,0)</f>
        <v>5</v>
      </c>
      <c r="J124" s="7">
        <v>0.6</v>
      </c>
      <c r="K124" s="7">
        <v>5.83</v>
      </c>
      <c r="L124" s="7">
        <v>14.01</v>
      </c>
      <c r="M124" s="7" t="s">
        <v>17</v>
      </c>
      <c r="N124" s="7">
        <f>VLOOKUP(M124,Sheet4!A:B,2,0)</f>
        <v>5</v>
      </c>
      <c r="O124" s="7">
        <v>1.2</v>
      </c>
      <c r="P124" s="7">
        <v>3.71</v>
      </c>
    </row>
    <row r="125" ht="15.3" spans="1:16">
      <c r="A125" s="12">
        <v>10.11</v>
      </c>
      <c r="B125" s="18">
        <v>8</v>
      </c>
      <c r="C125" s="14">
        <v>0</v>
      </c>
      <c r="D125" s="15">
        <v>585</v>
      </c>
      <c r="E125" s="14">
        <v>1404</v>
      </c>
      <c r="F125" s="19">
        <f t="shared" si="1"/>
        <v>1989</v>
      </c>
      <c r="G125" s="7">
        <v>13.2</v>
      </c>
      <c r="H125" s="7" t="s">
        <v>16</v>
      </c>
      <c r="I125" s="7">
        <f>VLOOKUP(H125,Sheet4!A:B,2,0)</f>
        <v>10</v>
      </c>
      <c r="J125" s="7">
        <v>0.1</v>
      </c>
      <c r="K125" s="7">
        <v>5.21</v>
      </c>
      <c r="L125" s="7">
        <v>14.11</v>
      </c>
      <c r="M125" s="7" t="s">
        <v>17</v>
      </c>
      <c r="N125" s="7">
        <f>VLOOKUP(M125,Sheet4!A:B,2,0)</f>
        <v>5</v>
      </c>
      <c r="O125" s="7">
        <v>0.8</v>
      </c>
      <c r="P125" s="7">
        <v>3</v>
      </c>
    </row>
    <row r="126" ht="15.3" spans="1:16">
      <c r="A126" s="12">
        <v>10.11</v>
      </c>
      <c r="B126" s="18">
        <v>10</v>
      </c>
      <c r="C126" s="14">
        <v>0</v>
      </c>
      <c r="D126" s="15">
        <v>834</v>
      </c>
      <c r="E126" s="14">
        <v>1867</v>
      </c>
      <c r="F126" s="19">
        <f t="shared" si="1"/>
        <v>2701</v>
      </c>
      <c r="G126" s="7">
        <v>13.35</v>
      </c>
      <c r="H126" s="7" t="s">
        <v>16</v>
      </c>
      <c r="I126" s="7">
        <f>VLOOKUP(H126,Sheet4!A:B,2,0)</f>
        <v>10</v>
      </c>
      <c r="J126" s="7">
        <v>0</v>
      </c>
      <c r="K126" s="7">
        <v>4.16</v>
      </c>
      <c r="L126" s="7">
        <v>14.41</v>
      </c>
      <c r="M126" s="7" t="s">
        <v>18</v>
      </c>
      <c r="N126" s="7">
        <f>VLOOKUP(M126,Sheet4!A:B,2,0)</f>
        <v>6</v>
      </c>
      <c r="O126" s="7">
        <v>0.1</v>
      </c>
      <c r="P126" s="7">
        <v>3.1</v>
      </c>
    </row>
    <row r="127" ht="15.3" spans="1:16">
      <c r="A127" s="12">
        <v>10.11</v>
      </c>
      <c r="B127" s="18">
        <v>12</v>
      </c>
      <c r="C127" s="14">
        <v>0</v>
      </c>
      <c r="D127" s="15">
        <v>1451</v>
      </c>
      <c r="E127" s="14">
        <v>2379</v>
      </c>
      <c r="F127" s="19">
        <f t="shared" si="1"/>
        <v>3830</v>
      </c>
      <c r="G127" s="7">
        <v>14.3</v>
      </c>
      <c r="H127" s="7" t="s">
        <v>16</v>
      </c>
      <c r="I127" s="7">
        <f>VLOOKUP(H127,Sheet4!A:B,2,0)</f>
        <v>10</v>
      </c>
      <c r="J127" s="7">
        <v>0</v>
      </c>
      <c r="K127" s="7">
        <v>4.11</v>
      </c>
      <c r="L127" s="7">
        <v>14.96</v>
      </c>
      <c r="M127" s="7" t="s">
        <v>18</v>
      </c>
      <c r="N127" s="7">
        <f>VLOOKUP(M127,Sheet4!A:B,2,0)</f>
        <v>6</v>
      </c>
      <c r="O127" s="7">
        <v>0.3</v>
      </c>
      <c r="P127" s="7">
        <v>2.3</v>
      </c>
    </row>
    <row r="128" ht="15.3" spans="1:16">
      <c r="A128" s="12">
        <v>10.11</v>
      </c>
      <c r="B128" s="18">
        <v>14</v>
      </c>
      <c r="C128" s="14">
        <v>0</v>
      </c>
      <c r="D128" s="15">
        <v>1347</v>
      </c>
      <c r="E128" s="14">
        <v>2314</v>
      </c>
      <c r="F128" s="19">
        <f t="shared" si="1"/>
        <v>3661</v>
      </c>
      <c r="G128" s="7">
        <v>15.1</v>
      </c>
      <c r="H128" s="7" t="s">
        <v>16</v>
      </c>
      <c r="I128" s="7">
        <f>VLOOKUP(H128,Sheet4!A:B,2,0)</f>
        <v>10</v>
      </c>
      <c r="J128" s="7">
        <v>0</v>
      </c>
      <c r="K128" s="7">
        <v>4.37</v>
      </c>
      <c r="L128" s="7">
        <v>14.91</v>
      </c>
      <c r="M128" s="7" t="s">
        <v>20</v>
      </c>
      <c r="N128" s="7">
        <f>VLOOKUP(M128,Sheet4!A:B,2,0)</f>
        <v>4</v>
      </c>
      <c r="O128" s="7">
        <v>1.6</v>
      </c>
      <c r="P128" s="7">
        <v>3.17</v>
      </c>
    </row>
    <row r="129" ht="15.3" spans="1:16">
      <c r="A129" s="12">
        <v>10.11</v>
      </c>
      <c r="B129" s="18">
        <v>16</v>
      </c>
      <c r="C129" s="14">
        <v>0</v>
      </c>
      <c r="D129" s="15">
        <v>1419</v>
      </c>
      <c r="E129" s="14">
        <v>2194</v>
      </c>
      <c r="F129" s="19">
        <f t="shared" si="1"/>
        <v>3613</v>
      </c>
      <c r="G129" s="7">
        <v>16.1</v>
      </c>
      <c r="H129" s="7" t="s">
        <v>16</v>
      </c>
      <c r="I129" s="7">
        <f>VLOOKUP(H129,Sheet4!A:B,2,0)</f>
        <v>10</v>
      </c>
      <c r="J129" s="7">
        <v>0</v>
      </c>
      <c r="K129" s="7">
        <v>3.48</v>
      </c>
      <c r="L129" s="7">
        <v>14.66</v>
      </c>
      <c r="M129" s="7" t="s">
        <v>17</v>
      </c>
      <c r="N129" s="7">
        <f>VLOOKUP(M129,Sheet4!A:B,2,0)</f>
        <v>5</v>
      </c>
      <c r="O129" s="7">
        <v>0.5</v>
      </c>
      <c r="P129" s="7">
        <v>2.2</v>
      </c>
    </row>
    <row r="130" ht="15.3" spans="1:16">
      <c r="A130" s="12">
        <v>10.11</v>
      </c>
      <c r="B130" s="18">
        <v>18</v>
      </c>
      <c r="C130" s="14">
        <v>0</v>
      </c>
      <c r="D130" s="15">
        <v>1418</v>
      </c>
      <c r="E130" s="14">
        <v>1908</v>
      </c>
      <c r="F130" s="19">
        <f t="shared" si="1"/>
        <v>3326</v>
      </c>
      <c r="G130" s="7">
        <v>16.9</v>
      </c>
      <c r="H130" s="7" t="s">
        <v>16</v>
      </c>
      <c r="I130" s="7">
        <f>VLOOKUP(H130,Sheet4!A:B,2,0)</f>
        <v>10</v>
      </c>
      <c r="J130" s="7">
        <v>0</v>
      </c>
      <c r="K130" s="7">
        <v>3.06</v>
      </c>
      <c r="L130" s="7">
        <v>14.06</v>
      </c>
      <c r="M130" s="7" t="s">
        <v>16</v>
      </c>
      <c r="N130" s="7">
        <f>VLOOKUP(M130,Sheet4!A:B,2,0)</f>
        <v>10</v>
      </c>
      <c r="O130" s="7">
        <v>0.1</v>
      </c>
      <c r="P130" s="7">
        <v>1.63</v>
      </c>
    </row>
    <row r="131" ht="15.3" spans="1:16">
      <c r="A131" s="12">
        <v>10.11</v>
      </c>
      <c r="B131" s="18">
        <v>20</v>
      </c>
      <c r="C131" s="14">
        <v>0</v>
      </c>
      <c r="D131" s="15">
        <v>1157</v>
      </c>
      <c r="E131" s="14">
        <v>1471</v>
      </c>
      <c r="F131" s="19">
        <f t="shared" ref="F131:F194" si="2">D131+E131</f>
        <v>2628</v>
      </c>
      <c r="G131" s="7">
        <v>17.25</v>
      </c>
      <c r="H131" s="7" t="s">
        <v>16</v>
      </c>
      <c r="I131" s="7">
        <f>VLOOKUP(H131,Sheet4!A:B,2,0)</f>
        <v>10</v>
      </c>
      <c r="J131" s="7">
        <v>0</v>
      </c>
      <c r="K131" s="7">
        <v>3.32</v>
      </c>
      <c r="L131" s="7">
        <v>13.06</v>
      </c>
      <c r="M131" s="7" t="s">
        <v>16</v>
      </c>
      <c r="N131" s="7">
        <f>VLOOKUP(M131,Sheet4!A:B,2,0)</f>
        <v>10</v>
      </c>
      <c r="O131" s="7">
        <v>0.1</v>
      </c>
      <c r="P131" s="7">
        <v>0.96</v>
      </c>
    </row>
    <row r="132" ht="15.3" spans="1:16">
      <c r="A132" s="12">
        <v>10.11</v>
      </c>
      <c r="B132" s="18">
        <v>22</v>
      </c>
      <c r="C132" s="14">
        <v>0</v>
      </c>
      <c r="D132" s="15">
        <v>1086</v>
      </c>
      <c r="E132" s="14">
        <v>1195</v>
      </c>
      <c r="F132" s="19">
        <f t="shared" si="2"/>
        <v>2281</v>
      </c>
      <c r="G132" s="7">
        <v>17.4</v>
      </c>
      <c r="H132" s="7" t="s">
        <v>16</v>
      </c>
      <c r="I132" s="7">
        <f>VLOOKUP(H132,Sheet4!A:B,2,0)</f>
        <v>10</v>
      </c>
      <c r="J132" s="7">
        <v>0</v>
      </c>
      <c r="K132" s="7">
        <v>3.96</v>
      </c>
      <c r="L132" s="7">
        <v>13.56</v>
      </c>
      <c r="M132" s="7" t="s">
        <v>17</v>
      </c>
      <c r="N132" s="7">
        <f>VLOOKUP(M132,Sheet4!A:B,2,0)</f>
        <v>5</v>
      </c>
      <c r="O132" s="7">
        <v>0.4</v>
      </c>
      <c r="P132" s="7">
        <v>1.51</v>
      </c>
    </row>
    <row r="133" ht="15.3" spans="1:16">
      <c r="A133" s="12">
        <v>10.11</v>
      </c>
      <c r="B133" s="20">
        <v>24</v>
      </c>
      <c r="C133" s="14">
        <v>0</v>
      </c>
      <c r="D133" s="15">
        <v>848</v>
      </c>
      <c r="E133" s="14">
        <v>674</v>
      </c>
      <c r="F133" s="19">
        <f t="shared" si="2"/>
        <v>1522</v>
      </c>
      <c r="G133" s="7">
        <v>17.45</v>
      </c>
      <c r="H133" s="7" t="s">
        <v>16</v>
      </c>
      <c r="I133" s="7">
        <f>VLOOKUP(H133,Sheet4!A:B,2,0)</f>
        <v>10</v>
      </c>
      <c r="J133" s="7">
        <v>0</v>
      </c>
      <c r="K133" s="7">
        <v>5.04</v>
      </c>
      <c r="L133" s="7">
        <v>13.41</v>
      </c>
      <c r="M133" s="7" t="s">
        <v>16</v>
      </c>
      <c r="N133" s="7">
        <f>VLOOKUP(M133,Sheet4!A:B,2,0)</f>
        <v>10</v>
      </c>
      <c r="O133" s="7">
        <v>0.2</v>
      </c>
      <c r="P133" s="7">
        <v>1.66</v>
      </c>
    </row>
    <row r="134" ht="15.3" spans="1:16">
      <c r="A134" s="12">
        <v>10.12</v>
      </c>
      <c r="B134" s="18">
        <v>2</v>
      </c>
      <c r="C134" s="14">
        <v>0</v>
      </c>
      <c r="D134" s="15">
        <v>651</v>
      </c>
      <c r="E134" s="14">
        <v>520</v>
      </c>
      <c r="F134" s="19">
        <f t="shared" si="2"/>
        <v>1171</v>
      </c>
      <c r="G134" s="7">
        <v>16.85</v>
      </c>
      <c r="H134" s="7" t="s">
        <v>16</v>
      </c>
      <c r="I134" s="7">
        <f>VLOOKUP(H134,Sheet4!A:B,2,0)</f>
        <v>10</v>
      </c>
      <c r="J134" s="7">
        <v>0</v>
      </c>
      <c r="K134" s="7">
        <v>5.25</v>
      </c>
      <c r="L134" s="7">
        <v>13.41</v>
      </c>
      <c r="M134" s="7" t="s">
        <v>17</v>
      </c>
      <c r="N134" s="7">
        <f>VLOOKUP(M134,Sheet4!A:B,2,0)</f>
        <v>5</v>
      </c>
      <c r="O134" s="7">
        <v>0.4</v>
      </c>
      <c r="P134" s="7">
        <v>1.3</v>
      </c>
    </row>
    <row r="135" ht="15.3" spans="1:16">
      <c r="A135" s="12">
        <v>10.12</v>
      </c>
      <c r="B135" s="18">
        <v>4</v>
      </c>
      <c r="C135" s="14">
        <v>0</v>
      </c>
      <c r="D135" s="15">
        <v>395</v>
      </c>
      <c r="E135" s="14">
        <v>378</v>
      </c>
      <c r="F135" s="19">
        <f t="shared" si="2"/>
        <v>773</v>
      </c>
      <c r="G135" s="7">
        <v>18</v>
      </c>
      <c r="H135" s="7" t="s">
        <v>16</v>
      </c>
      <c r="I135" s="7">
        <f>VLOOKUP(H135,Sheet4!A:B,2,0)</f>
        <v>10</v>
      </c>
      <c r="J135" s="7">
        <v>0</v>
      </c>
      <c r="K135" s="7">
        <v>7.01</v>
      </c>
      <c r="L135" s="7">
        <v>13.21</v>
      </c>
      <c r="M135" s="7" t="s">
        <v>20</v>
      </c>
      <c r="N135" s="7">
        <f>VLOOKUP(M135,Sheet4!A:B,2,0)</f>
        <v>4</v>
      </c>
      <c r="O135" s="7">
        <v>2.3</v>
      </c>
      <c r="P135" s="7">
        <v>1.17</v>
      </c>
    </row>
    <row r="136" ht="15.3" spans="1:16">
      <c r="A136" s="12">
        <v>10.12</v>
      </c>
      <c r="B136" s="18">
        <v>6</v>
      </c>
      <c r="C136" s="14">
        <v>0</v>
      </c>
      <c r="D136" s="15">
        <v>491</v>
      </c>
      <c r="E136" s="14">
        <v>531</v>
      </c>
      <c r="F136" s="19">
        <f t="shared" si="2"/>
        <v>1022</v>
      </c>
      <c r="G136" s="7">
        <v>18.45</v>
      </c>
      <c r="H136" s="7" t="s">
        <v>16</v>
      </c>
      <c r="I136" s="7">
        <f>VLOOKUP(H136,Sheet4!A:B,2,0)</f>
        <v>10</v>
      </c>
      <c r="J136" s="7">
        <v>0</v>
      </c>
      <c r="K136" s="7">
        <v>12.04</v>
      </c>
      <c r="L136" s="7">
        <v>13.41</v>
      </c>
      <c r="M136" s="7" t="s">
        <v>20</v>
      </c>
      <c r="N136" s="7">
        <f>VLOOKUP(M136,Sheet4!A:B,2,0)</f>
        <v>4</v>
      </c>
      <c r="O136" s="7">
        <v>2</v>
      </c>
      <c r="P136" s="7">
        <v>1.79</v>
      </c>
    </row>
    <row r="137" ht="15.3" spans="1:16">
      <c r="A137" s="12">
        <v>10.12</v>
      </c>
      <c r="B137" s="18">
        <v>8</v>
      </c>
      <c r="C137" s="14">
        <v>0</v>
      </c>
      <c r="D137" s="15">
        <v>877</v>
      </c>
      <c r="E137" s="14">
        <v>1145</v>
      </c>
      <c r="F137" s="19">
        <f t="shared" si="2"/>
        <v>2022</v>
      </c>
      <c r="G137" s="7">
        <v>17.7</v>
      </c>
      <c r="H137" s="7" t="s">
        <v>16</v>
      </c>
      <c r="I137" s="7">
        <f>VLOOKUP(H137,Sheet4!A:B,2,0)</f>
        <v>10</v>
      </c>
      <c r="J137" s="7">
        <v>0</v>
      </c>
      <c r="K137" s="7">
        <v>12.24</v>
      </c>
      <c r="L137" s="7">
        <v>14.26</v>
      </c>
      <c r="M137" s="7" t="s">
        <v>16</v>
      </c>
      <c r="N137" s="7">
        <f>VLOOKUP(M137,Sheet4!A:B,2,0)</f>
        <v>10</v>
      </c>
      <c r="O137" s="7">
        <v>0.1</v>
      </c>
      <c r="P137" s="7">
        <v>1.89</v>
      </c>
    </row>
    <row r="138" ht="15.3" spans="1:16">
      <c r="A138" s="12">
        <v>10.12</v>
      </c>
      <c r="B138" s="18">
        <v>10</v>
      </c>
      <c r="C138" s="14">
        <v>0</v>
      </c>
      <c r="D138" s="15">
        <v>1100</v>
      </c>
      <c r="E138" s="14">
        <v>1532</v>
      </c>
      <c r="F138" s="19">
        <f t="shared" si="2"/>
        <v>2632</v>
      </c>
      <c r="G138" s="7">
        <v>17.3</v>
      </c>
      <c r="H138" s="7" t="s">
        <v>16</v>
      </c>
      <c r="I138" s="7">
        <f>VLOOKUP(H138,Sheet4!A:B,2,0)</f>
        <v>10</v>
      </c>
      <c r="J138" s="7">
        <v>0</v>
      </c>
      <c r="K138" s="7">
        <v>12.23</v>
      </c>
      <c r="L138" s="7">
        <v>15.06</v>
      </c>
      <c r="M138" s="7" t="s">
        <v>17</v>
      </c>
      <c r="N138" s="7">
        <f>VLOOKUP(M138,Sheet4!A:B,2,0)</f>
        <v>5</v>
      </c>
      <c r="O138" s="7">
        <v>0.6</v>
      </c>
      <c r="P138" s="7">
        <v>2.46</v>
      </c>
    </row>
    <row r="139" ht="15.3" spans="1:16">
      <c r="A139" s="12">
        <v>10.12</v>
      </c>
      <c r="B139" s="18">
        <v>12</v>
      </c>
      <c r="C139" s="14">
        <v>0</v>
      </c>
      <c r="D139" s="15">
        <v>1169</v>
      </c>
      <c r="E139" s="14">
        <v>1791</v>
      </c>
      <c r="F139" s="19">
        <f t="shared" si="2"/>
        <v>2960</v>
      </c>
      <c r="G139" s="7">
        <v>16.9</v>
      </c>
      <c r="H139" s="7" t="s">
        <v>16</v>
      </c>
      <c r="I139" s="7">
        <f>VLOOKUP(H139,Sheet4!A:B,2,0)</f>
        <v>10</v>
      </c>
      <c r="J139" s="7">
        <v>0</v>
      </c>
      <c r="K139" s="7">
        <v>11.87</v>
      </c>
      <c r="L139" s="7">
        <v>15.86</v>
      </c>
      <c r="M139" s="7" t="s">
        <v>17</v>
      </c>
      <c r="N139" s="7">
        <f>VLOOKUP(M139,Sheet4!A:B,2,0)</f>
        <v>5</v>
      </c>
      <c r="O139" s="7">
        <v>0.7</v>
      </c>
      <c r="P139" s="7">
        <v>2.16</v>
      </c>
    </row>
    <row r="140" ht="15.3" spans="1:16">
      <c r="A140" s="12">
        <v>10.12</v>
      </c>
      <c r="B140" s="18">
        <v>14</v>
      </c>
      <c r="C140" s="14">
        <v>0</v>
      </c>
      <c r="D140" s="15">
        <v>1259</v>
      </c>
      <c r="E140" s="14">
        <v>1942</v>
      </c>
      <c r="F140" s="19">
        <f t="shared" si="2"/>
        <v>3201</v>
      </c>
      <c r="G140" s="7">
        <v>16.85</v>
      </c>
      <c r="H140" s="7" t="s">
        <v>16</v>
      </c>
      <c r="I140" s="7">
        <f>VLOOKUP(H140,Sheet4!A:B,2,0)</f>
        <v>10</v>
      </c>
      <c r="J140" s="7">
        <v>0</v>
      </c>
      <c r="K140" s="7">
        <v>9.86</v>
      </c>
      <c r="L140" s="7">
        <v>16.56</v>
      </c>
      <c r="M140" s="7" t="s">
        <v>16</v>
      </c>
      <c r="N140" s="7">
        <f>VLOOKUP(M140,Sheet4!A:B,2,0)</f>
        <v>10</v>
      </c>
      <c r="O140" s="7">
        <v>0.3</v>
      </c>
      <c r="P140" s="7">
        <v>3.62</v>
      </c>
    </row>
    <row r="141" ht="15.3" spans="1:16">
      <c r="A141" s="12">
        <v>10.12</v>
      </c>
      <c r="B141" s="18">
        <v>16</v>
      </c>
      <c r="C141" s="14">
        <v>0</v>
      </c>
      <c r="D141" s="15">
        <v>1393</v>
      </c>
      <c r="E141" s="14">
        <v>1948</v>
      </c>
      <c r="F141" s="19">
        <f t="shared" si="2"/>
        <v>3341</v>
      </c>
      <c r="G141" s="7">
        <v>16.65</v>
      </c>
      <c r="H141" s="7" t="s">
        <v>16</v>
      </c>
      <c r="I141" s="7">
        <f>VLOOKUP(H141,Sheet4!A:B,2,0)</f>
        <v>10</v>
      </c>
      <c r="J141" s="7">
        <v>0.1</v>
      </c>
      <c r="K141" s="7">
        <v>9.51</v>
      </c>
      <c r="L141" s="7">
        <v>15.51</v>
      </c>
      <c r="M141" s="7" t="s">
        <v>17</v>
      </c>
      <c r="N141" s="7">
        <f>VLOOKUP(M141,Sheet4!A:B,2,0)</f>
        <v>5</v>
      </c>
      <c r="O141" s="7">
        <v>1.1</v>
      </c>
      <c r="P141" s="7">
        <v>3.93</v>
      </c>
    </row>
    <row r="142" ht="15.3" spans="1:16">
      <c r="A142" s="12">
        <v>10.12</v>
      </c>
      <c r="B142" s="18">
        <v>18</v>
      </c>
      <c r="C142" s="14">
        <v>0</v>
      </c>
      <c r="D142" s="15">
        <v>1334</v>
      </c>
      <c r="E142" s="14">
        <v>1812</v>
      </c>
      <c r="F142" s="19">
        <f t="shared" si="2"/>
        <v>3146</v>
      </c>
      <c r="G142" s="7">
        <v>17.05</v>
      </c>
      <c r="H142" s="7" t="s">
        <v>16</v>
      </c>
      <c r="I142" s="7">
        <f>VLOOKUP(H142,Sheet4!A:B,2,0)</f>
        <v>10</v>
      </c>
      <c r="J142" s="7">
        <v>0.1</v>
      </c>
      <c r="K142" s="7">
        <v>8.14</v>
      </c>
      <c r="L142" s="7">
        <v>15.06</v>
      </c>
      <c r="M142" s="7" t="s">
        <v>17</v>
      </c>
      <c r="N142" s="7">
        <f>VLOOKUP(M142,Sheet4!A:B,2,0)</f>
        <v>5</v>
      </c>
      <c r="O142" s="7">
        <v>1.1</v>
      </c>
      <c r="P142" s="7">
        <v>3.35</v>
      </c>
    </row>
    <row r="143" ht="15.3" spans="1:16">
      <c r="A143" s="12">
        <v>10.12</v>
      </c>
      <c r="B143" s="18">
        <v>20</v>
      </c>
      <c r="C143" s="14">
        <v>0</v>
      </c>
      <c r="D143" s="15">
        <v>1181</v>
      </c>
      <c r="E143" s="14">
        <v>1397</v>
      </c>
      <c r="F143" s="19">
        <f t="shared" si="2"/>
        <v>2578</v>
      </c>
      <c r="G143" s="7">
        <v>17.35</v>
      </c>
      <c r="H143" s="7" t="s">
        <v>16</v>
      </c>
      <c r="I143" s="7">
        <f>VLOOKUP(H143,Sheet4!A:B,2,0)</f>
        <v>10</v>
      </c>
      <c r="J143" s="7">
        <v>0</v>
      </c>
      <c r="K143" s="7">
        <v>6.64</v>
      </c>
      <c r="L143" s="7">
        <v>14.66</v>
      </c>
      <c r="M143" s="7" t="s">
        <v>20</v>
      </c>
      <c r="N143" s="7">
        <f>VLOOKUP(M143,Sheet4!A:B,2,0)</f>
        <v>4</v>
      </c>
      <c r="O143" s="7">
        <v>2.1</v>
      </c>
      <c r="P143" s="7">
        <v>3.22</v>
      </c>
    </row>
    <row r="144" ht="15.3" spans="1:16">
      <c r="A144" s="12">
        <v>10.12</v>
      </c>
      <c r="B144" s="18">
        <v>22</v>
      </c>
      <c r="C144" s="14">
        <v>0</v>
      </c>
      <c r="D144" s="15">
        <v>1014</v>
      </c>
      <c r="E144" s="14">
        <v>1160</v>
      </c>
      <c r="F144" s="19">
        <f t="shared" si="2"/>
        <v>2174</v>
      </c>
      <c r="G144" s="7">
        <v>16.65</v>
      </c>
      <c r="H144" s="7" t="s">
        <v>16</v>
      </c>
      <c r="I144" s="7">
        <f>VLOOKUP(H144,Sheet4!A:B,2,0)</f>
        <v>10</v>
      </c>
      <c r="J144" s="7">
        <v>0</v>
      </c>
      <c r="K144" s="7">
        <v>5.12</v>
      </c>
      <c r="L144" s="7">
        <v>13.86</v>
      </c>
      <c r="M144" s="7" t="s">
        <v>17</v>
      </c>
      <c r="N144" s="7">
        <f>VLOOKUP(M144,Sheet4!A:B,2,0)</f>
        <v>5</v>
      </c>
      <c r="O144" s="7">
        <v>0.9</v>
      </c>
      <c r="P144" s="7">
        <v>2.58</v>
      </c>
    </row>
    <row r="145" ht="15.3" spans="1:16">
      <c r="A145" s="12">
        <v>10.12</v>
      </c>
      <c r="B145" s="20">
        <v>24</v>
      </c>
      <c r="C145" s="14">
        <v>0</v>
      </c>
      <c r="D145" s="15">
        <v>802</v>
      </c>
      <c r="E145" s="14">
        <v>776</v>
      </c>
      <c r="F145" s="19">
        <f t="shared" si="2"/>
        <v>1578</v>
      </c>
      <c r="G145" s="7">
        <v>16.35</v>
      </c>
      <c r="H145" s="7" t="s">
        <v>16</v>
      </c>
      <c r="I145" s="7">
        <f>VLOOKUP(H145,Sheet4!A:B,2,0)</f>
        <v>10</v>
      </c>
      <c r="J145" s="7">
        <v>0</v>
      </c>
      <c r="K145" s="7">
        <v>5.25</v>
      </c>
      <c r="L145" s="7">
        <v>13.46</v>
      </c>
      <c r="M145" s="7" t="s">
        <v>17</v>
      </c>
      <c r="N145" s="7">
        <f>VLOOKUP(M145,Sheet4!A:B,2,0)</f>
        <v>5</v>
      </c>
      <c r="O145" s="7">
        <v>0.8</v>
      </c>
      <c r="P145" s="7">
        <v>1.96</v>
      </c>
    </row>
    <row r="146" ht="15.3" spans="1:16">
      <c r="A146" s="12">
        <v>10.13</v>
      </c>
      <c r="B146" s="18">
        <v>2</v>
      </c>
      <c r="C146" s="14">
        <v>0</v>
      </c>
      <c r="D146" s="15">
        <v>579</v>
      </c>
      <c r="E146" s="14">
        <v>420</v>
      </c>
      <c r="F146" s="19">
        <f t="shared" si="2"/>
        <v>999</v>
      </c>
      <c r="G146" s="7">
        <v>16.35</v>
      </c>
      <c r="H146" s="7" t="s">
        <v>16</v>
      </c>
      <c r="I146" s="7">
        <f>VLOOKUP(H146,Sheet4!A:B,2,0)</f>
        <v>10</v>
      </c>
      <c r="J146" s="7">
        <v>0</v>
      </c>
      <c r="K146" s="7">
        <v>5.49</v>
      </c>
      <c r="L146" s="7">
        <v>13.51</v>
      </c>
      <c r="M146" s="7" t="s">
        <v>16</v>
      </c>
      <c r="N146" s="7">
        <f>VLOOKUP(M146,Sheet4!A:B,2,0)</f>
        <v>10</v>
      </c>
      <c r="O146" s="7">
        <v>0.1</v>
      </c>
      <c r="P146" s="7">
        <v>1.33</v>
      </c>
    </row>
    <row r="147" ht="15.3" spans="1:16">
      <c r="A147" s="12">
        <v>10.13</v>
      </c>
      <c r="B147" s="18">
        <v>4</v>
      </c>
      <c r="C147" s="14">
        <v>0</v>
      </c>
      <c r="D147" s="15">
        <v>432</v>
      </c>
      <c r="E147" s="14">
        <v>343</v>
      </c>
      <c r="F147" s="19">
        <f t="shared" si="2"/>
        <v>775</v>
      </c>
      <c r="G147" s="7">
        <v>16.05</v>
      </c>
      <c r="H147" s="7" t="s">
        <v>16</v>
      </c>
      <c r="I147" s="7">
        <f>VLOOKUP(H147,Sheet4!A:B,2,0)</f>
        <v>10</v>
      </c>
      <c r="J147" s="7">
        <v>0</v>
      </c>
      <c r="K147" s="7">
        <v>5.11</v>
      </c>
      <c r="L147" s="7">
        <v>12.91</v>
      </c>
      <c r="M147" s="7" t="s">
        <v>16</v>
      </c>
      <c r="N147" s="7">
        <f>VLOOKUP(M147,Sheet4!A:B,2,0)</f>
        <v>10</v>
      </c>
      <c r="O147" s="7">
        <v>0</v>
      </c>
      <c r="P147" s="7">
        <v>1.7</v>
      </c>
    </row>
    <row r="148" ht="15.3" spans="1:16">
      <c r="A148" s="12">
        <v>10.13</v>
      </c>
      <c r="B148" s="18">
        <v>6</v>
      </c>
      <c r="C148" s="14">
        <v>0</v>
      </c>
      <c r="D148" s="15">
        <v>507</v>
      </c>
      <c r="E148" s="14">
        <v>510</v>
      </c>
      <c r="F148" s="19">
        <f t="shared" si="2"/>
        <v>1017</v>
      </c>
      <c r="G148" s="7">
        <v>15.9</v>
      </c>
      <c r="H148" s="7" t="s">
        <v>16</v>
      </c>
      <c r="I148" s="7">
        <f>VLOOKUP(H148,Sheet4!A:B,2,0)</f>
        <v>10</v>
      </c>
      <c r="J148" s="7">
        <v>0</v>
      </c>
      <c r="K148" s="7">
        <v>4.1</v>
      </c>
      <c r="L148" s="7">
        <v>12.96</v>
      </c>
      <c r="M148" s="7" t="s">
        <v>16</v>
      </c>
      <c r="N148" s="7">
        <f>VLOOKUP(M148,Sheet4!A:B,2,0)</f>
        <v>10</v>
      </c>
      <c r="O148" s="7">
        <v>0.1</v>
      </c>
      <c r="P148" s="7">
        <v>1.57</v>
      </c>
    </row>
    <row r="149" ht="15.3" spans="1:16">
      <c r="A149" s="12">
        <v>10.13</v>
      </c>
      <c r="B149" s="18">
        <v>8</v>
      </c>
      <c r="C149" s="14">
        <v>0</v>
      </c>
      <c r="D149" s="15">
        <v>952</v>
      </c>
      <c r="E149" s="14">
        <v>1162</v>
      </c>
      <c r="F149" s="19">
        <f t="shared" si="2"/>
        <v>2114</v>
      </c>
      <c r="G149" s="7">
        <v>15.95</v>
      </c>
      <c r="H149" s="7" t="s">
        <v>16</v>
      </c>
      <c r="I149" s="7">
        <f>VLOOKUP(H149,Sheet4!A:B,2,0)</f>
        <v>10</v>
      </c>
      <c r="J149" s="7">
        <v>0</v>
      </c>
      <c r="K149" s="7">
        <v>4.11</v>
      </c>
      <c r="L149" s="7">
        <v>13.21</v>
      </c>
      <c r="M149" s="7" t="s">
        <v>16</v>
      </c>
      <c r="N149" s="7">
        <f>VLOOKUP(M149,Sheet4!A:B,2,0)</f>
        <v>10</v>
      </c>
      <c r="O149" s="7">
        <v>0</v>
      </c>
      <c r="P149" s="7">
        <v>1.76</v>
      </c>
    </row>
    <row r="150" ht="15.3" spans="1:16">
      <c r="A150" s="12">
        <v>10.13</v>
      </c>
      <c r="B150" s="18">
        <v>10</v>
      </c>
      <c r="C150" s="14">
        <v>0</v>
      </c>
      <c r="D150" s="15">
        <v>1117</v>
      </c>
      <c r="E150" s="14">
        <v>1416</v>
      </c>
      <c r="F150" s="19">
        <f t="shared" si="2"/>
        <v>2533</v>
      </c>
      <c r="G150" s="7">
        <v>16.35</v>
      </c>
      <c r="H150" s="7" t="s">
        <v>16</v>
      </c>
      <c r="I150" s="7">
        <f>VLOOKUP(H150,Sheet4!A:B,2,0)</f>
        <v>10</v>
      </c>
      <c r="J150" s="7">
        <v>0</v>
      </c>
      <c r="K150" s="7">
        <v>4.35</v>
      </c>
      <c r="L150" s="7">
        <v>15.91</v>
      </c>
      <c r="M150" s="7" t="s">
        <v>16</v>
      </c>
      <c r="N150" s="7">
        <f>VLOOKUP(M150,Sheet4!A:B,2,0)</f>
        <v>10</v>
      </c>
      <c r="O150" s="7">
        <v>0</v>
      </c>
      <c r="P150" s="7">
        <v>2.17</v>
      </c>
    </row>
    <row r="151" ht="15.3" spans="1:16">
      <c r="A151" s="12">
        <v>10.13</v>
      </c>
      <c r="B151" s="18">
        <v>12</v>
      </c>
      <c r="C151" s="14">
        <v>0</v>
      </c>
      <c r="D151" s="15">
        <v>1261</v>
      </c>
      <c r="E151" s="14">
        <v>1757</v>
      </c>
      <c r="F151" s="19">
        <f t="shared" si="2"/>
        <v>3018</v>
      </c>
      <c r="G151" s="7">
        <v>16.85</v>
      </c>
      <c r="H151" s="7" t="s">
        <v>16</v>
      </c>
      <c r="I151" s="7">
        <f>VLOOKUP(H151,Sheet4!A:B,2,0)</f>
        <v>10</v>
      </c>
      <c r="J151" s="7">
        <v>0</v>
      </c>
      <c r="K151" s="7">
        <v>4.64</v>
      </c>
      <c r="L151" s="7">
        <v>18.56</v>
      </c>
      <c r="M151" s="7" t="s">
        <v>16</v>
      </c>
      <c r="N151" s="7">
        <f>VLOOKUP(M151,Sheet4!A:B,2,0)</f>
        <v>10</v>
      </c>
      <c r="O151" s="7">
        <v>0</v>
      </c>
      <c r="P151" s="7">
        <v>1.91</v>
      </c>
    </row>
    <row r="152" ht="15.3" spans="1:16">
      <c r="A152" s="12">
        <v>10.13</v>
      </c>
      <c r="B152" s="18">
        <v>14</v>
      </c>
      <c r="C152" s="14">
        <v>0</v>
      </c>
      <c r="D152" s="15">
        <v>1037</v>
      </c>
      <c r="E152" s="14">
        <v>1545</v>
      </c>
      <c r="F152" s="19">
        <f t="shared" si="2"/>
        <v>2582</v>
      </c>
      <c r="G152" s="7">
        <v>17.6</v>
      </c>
      <c r="H152" s="7" t="s">
        <v>16</v>
      </c>
      <c r="I152" s="7">
        <f>VLOOKUP(H152,Sheet4!A:B,2,0)</f>
        <v>10</v>
      </c>
      <c r="J152" s="7">
        <v>0</v>
      </c>
      <c r="K152" s="7">
        <v>5.57</v>
      </c>
      <c r="L152" s="7">
        <v>19.81</v>
      </c>
      <c r="M152" s="7" t="s">
        <v>16</v>
      </c>
      <c r="N152" s="7">
        <f>VLOOKUP(M152,Sheet4!A:B,2,0)</f>
        <v>10</v>
      </c>
      <c r="O152" s="7">
        <v>0</v>
      </c>
      <c r="P152" s="7">
        <v>2.25</v>
      </c>
    </row>
    <row r="153" ht="15.3" spans="1:16">
      <c r="A153" s="12">
        <v>10.13</v>
      </c>
      <c r="B153" s="18">
        <v>16</v>
      </c>
      <c r="C153" s="14">
        <v>0</v>
      </c>
      <c r="D153" s="15">
        <v>1286</v>
      </c>
      <c r="E153" s="14">
        <v>1807</v>
      </c>
      <c r="F153" s="19">
        <f t="shared" si="2"/>
        <v>3093</v>
      </c>
      <c r="G153" s="7">
        <v>18.4</v>
      </c>
      <c r="H153" s="7" t="s">
        <v>16</v>
      </c>
      <c r="I153" s="7">
        <f>VLOOKUP(H153,Sheet4!A:B,2,0)</f>
        <v>10</v>
      </c>
      <c r="J153" s="7">
        <v>0</v>
      </c>
      <c r="K153" s="7">
        <v>5.65</v>
      </c>
      <c r="L153" s="7">
        <v>19.86</v>
      </c>
      <c r="M153" s="7" t="s">
        <v>16</v>
      </c>
      <c r="N153" s="7">
        <f>VLOOKUP(M153,Sheet4!A:B,2,0)</f>
        <v>10</v>
      </c>
      <c r="O153" s="7">
        <v>0</v>
      </c>
      <c r="P153" s="7">
        <v>2.08</v>
      </c>
    </row>
    <row r="154" ht="15.3" spans="1:16">
      <c r="A154" s="12">
        <v>10.13</v>
      </c>
      <c r="B154" s="18">
        <v>18</v>
      </c>
      <c r="C154" s="14">
        <v>0</v>
      </c>
      <c r="D154" s="15">
        <v>1237</v>
      </c>
      <c r="E154" s="14">
        <v>1735</v>
      </c>
      <c r="F154" s="19">
        <f t="shared" si="2"/>
        <v>2972</v>
      </c>
      <c r="G154" s="7">
        <v>18.7</v>
      </c>
      <c r="H154" s="7" t="s">
        <v>16</v>
      </c>
      <c r="I154" s="7">
        <f>VLOOKUP(H154,Sheet4!A:B,2,0)</f>
        <v>10</v>
      </c>
      <c r="J154" s="7">
        <v>0</v>
      </c>
      <c r="K154" s="7">
        <v>4.78</v>
      </c>
      <c r="L154" s="7">
        <v>18.01</v>
      </c>
      <c r="M154" s="7" t="s">
        <v>16</v>
      </c>
      <c r="N154" s="7">
        <f>VLOOKUP(M154,Sheet4!A:B,2,0)</f>
        <v>10</v>
      </c>
      <c r="O154" s="7">
        <v>0</v>
      </c>
      <c r="P154" s="7">
        <v>0.78</v>
      </c>
    </row>
    <row r="155" ht="15.3" spans="1:16">
      <c r="A155" s="12">
        <v>10.13</v>
      </c>
      <c r="B155" s="18">
        <v>20</v>
      </c>
      <c r="C155" s="14">
        <v>0</v>
      </c>
      <c r="D155" s="15">
        <v>1194</v>
      </c>
      <c r="E155" s="14">
        <v>1335</v>
      </c>
      <c r="F155" s="19">
        <f t="shared" si="2"/>
        <v>2529</v>
      </c>
      <c r="G155" s="7">
        <v>19.25</v>
      </c>
      <c r="H155" s="7" t="s">
        <v>16</v>
      </c>
      <c r="I155" s="7">
        <f>VLOOKUP(H155,Sheet4!A:B,2,0)</f>
        <v>10</v>
      </c>
      <c r="J155" s="7">
        <v>0</v>
      </c>
      <c r="K155" s="7">
        <v>4.65</v>
      </c>
      <c r="L155" s="7">
        <v>14.86</v>
      </c>
      <c r="M155" s="7" t="s">
        <v>16</v>
      </c>
      <c r="N155" s="7">
        <f>VLOOKUP(M155,Sheet4!A:B,2,0)</f>
        <v>10</v>
      </c>
      <c r="O155" s="7">
        <v>0</v>
      </c>
      <c r="P155" s="7">
        <v>1.36</v>
      </c>
    </row>
    <row r="156" ht="15.3" spans="1:16">
      <c r="A156" s="12">
        <v>10.13</v>
      </c>
      <c r="B156" s="18">
        <v>22</v>
      </c>
      <c r="C156" s="14">
        <v>0</v>
      </c>
      <c r="D156" s="15">
        <v>1149</v>
      </c>
      <c r="E156" s="14">
        <v>1202</v>
      </c>
      <c r="F156" s="19">
        <f t="shared" si="2"/>
        <v>2351</v>
      </c>
      <c r="G156" s="7">
        <v>19.6</v>
      </c>
      <c r="H156" s="7" t="s">
        <v>16</v>
      </c>
      <c r="I156" s="7">
        <f>VLOOKUP(H156,Sheet4!A:B,2,0)</f>
        <v>10</v>
      </c>
      <c r="J156" s="7">
        <v>0</v>
      </c>
      <c r="K156" s="7">
        <v>4.2</v>
      </c>
      <c r="L156" s="7">
        <v>13.36</v>
      </c>
      <c r="M156" s="7" t="s">
        <v>16</v>
      </c>
      <c r="N156" s="7">
        <f>VLOOKUP(M156,Sheet4!A:B,2,0)</f>
        <v>10</v>
      </c>
      <c r="O156" s="7">
        <v>0</v>
      </c>
      <c r="P156" s="7">
        <v>0.65</v>
      </c>
    </row>
    <row r="157" ht="15.3" spans="1:16">
      <c r="A157" s="12">
        <v>10.13</v>
      </c>
      <c r="B157" s="20">
        <v>24</v>
      </c>
      <c r="C157" s="14">
        <v>0</v>
      </c>
      <c r="D157" s="15">
        <v>966</v>
      </c>
      <c r="E157" s="14">
        <v>767</v>
      </c>
      <c r="F157" s="19">
        <f t="shared" si="2"/>
        <v>1733</v>
      </c>
      <c r="G157" s="7">
        <v>19.5</v>
      </c>
      <c r="H157" s="7" t="s">
        <v>16</v>
      </c>
      <c r="I157" s="7">
        <f>VLOOKUP(H157,Sheet4!A:B,2,0)</f>
        <v>10</v>
      </c>
      <c r="J157" s="7">
        <v>0</v>
      </c>
      <c r="K157" s="7">
        <v>3.49</v>
      </c>
      <c r="L157" s="7">
        <v>12.26</v>
      </c>
      <c r="M157" s="7" t="s">
        <v>16</v>
      </c>
      <c r="N157" s="7">
        <f>VLOOKUP(M157,Sheet4!A:B,2,0)</f>
        <v>10</v>
      </c>
      <c r="O157" s="7">
        <v>0</v>
      </c>
      <c r="P157" s="7">
        <v>0.47</v>
      </c>
    </row>
    <row r="158" ht="15.3" spans="1:16">
      <c r="A158" s="12">
        <v>10.14</v>
      </c>
      <c r="B158" s="18">
        <v>2</v>
      </c>
      <c r="C158" s="14">
        <v>0</v>
      </c>
      <c r="D158" s="15">
        <v>731</v>
      </c>
      <c r="E158" s="14">
        <v>433</v>
      </c>
      <c r="F158" s="19">
        <f t="shared" si="2"/>
        <v>1164</v>
      </c>
      <c r="G158" s="7">
        <v>19.35</v>
      </c>
      <c r="H158" s="7" t="s">
        <v>16</v>
      </c>
      <c r="I158" s="7">
        <f>VLOOKUP(H158,Sheet4!A:B,2,0)</f>
        <v>10</v>
      </c>
      <c r="J158" s="7">
        <v>0</v>
      </c>
      <c r="K158" s="7">
        <v>3.76</v>
      </c>
      <c r="L158" s="7">
        <v>11.26</v>
      </c>
      <c r="M158" s="7" t="s">
        <v>16</v>
      </c>
      <c r="N158" s="7">
        <f>VLOOKUP(M158,Sheet4!A:B,2,0)</f>
        <v>10</v>
      </c>
      <c r="O158" s="7">
        <v>0</v>
      </c>
      <c r="P158" s="7">
        <v>0.47</v>
      </c>
    </row>
    <row r="159" ht="15.3" spans="1:16">
      <c r="A159" s="12">
        <v>10.14</v>
      </c>
      <c r="B159" s="18">
        <v>4</v>
      </c>
      <c r="C159" s="14">
        <v>0</v>
      </c>
      <c r="D159" s="15">
        <v>554</v>
      </c>
      <c r="E159" s="14">
        <v>329</v>
      </c>
      <c r="F159" s="19">
        <f t="shared" si="2"/>
        <v>883</v>
      </c>
      <c r="G159" s="7">
        <v>18.95</v>
      </c>
      <c r="H159" s="7" t="s">
        <v>16</v>
      </c>
      <c r="I159" s="7">
        <f>VLOOKUP(H159,Sheet4!A:B,2,0)</f>
        <v>10</v>
      </c>
      <c r="J159" s="7">
        <v>0</v>
      </c>
      <c r="K159" s="7">
        <v>3.63</v>
      </c>
      <c r="L159" s="7">
        <v>10.36</v>
      </c>
      <c r="M159" s="7" t="s">
        <v>16</v>
      </c>
      <c r="N159" s="7">
        <f>VLOOKUP(M159,Sheet4!A:B,2,0)</f>
        <v>10</v>
      </c>
      <c r="O159" s="7">
        <v>0</v>
      </c>
      <c r="P159" s="7">
        <v>0.64</v>
      </c>
    </row>
    <row r="160" ht="15.3" spans="1:16">
      <c r="A160" s="12">
        <v>10.14</v>
      </c>
      <c r="B160" s="18">
        <v>6</v>
      </c>
      <c r="C160" s="14">
        <v>0</v>
      </c>
      <c r="D160" s="15">
        <v>530</v>
      </c>
      <c r="E160" s="14">
        <v>531</v>
      </c>
      <c r="F160" s="19">
        <f t="shared" si="2"/>
        <v>1061</v>
      </c>
      <c r="G160" s="7">
        <v>18.65</v>
      </c>
      <c r="H160" s="7" t="s">
        <v>16</v>
      </c>
      <c r="I160" s="7">
        <f>VLOOKUP(H160,Sheet4!A:B,2,0)</f>
        <v>10</v>
      </c>
      <c r="J160" s="7">
        <v>0</v>
      </c>
      <c r="K160" s="7">
        <v>3.09</v>
      </c>
      <c r="L160" s="7">
        <v>10.06</v>
      </c>
      <c r="M160" s="7" t="s">
        <v>16</v>
      </c>
      <c r="N160" s="7">
        <f>VLOOKUP(M160,Sheet4!A:B,2,0)</f>
        <v>10</v>
      </c>
      <c r="O160" s="7">
        <v>0</v>
      </c>
      <c r="P160" s="7">
        <v>0.3</v>
      </c>
    </row>
    <row r="161" ht="15.3" spans="1:16">
      <c r="A161" s="12">
        <v>10.14</v>
      </c>
      <c r="B161" s="18">
        <v>8</v>
      </c>
      <c r="C161" s="14">
        <v>0</v>
      </c>
      <c r="D161" s="15">
        <v>971</v>
      </c>
      <c r="E161" s="14">
        <v>1139</v>
      </c>
      <c r="F161" s="19">
        <f t="shared" si="2"/>
        <v>2110</v>
      </c>
      <c r="G161" s="7">
        <v>18.1</v>
      </c>
      <c r="H161" s="7" t="s">
        <v>16</v>
      </c>
      <c r="I161" s="7">
        <f>VLOOKUP(H161,Sheet4!A:B,2,0)</f>
        <v>10</v>
      </c>
      <c r="J161" s="7">
        <v>0</v>
      </c>
      <c r="K161" s="7">
        <v>2.33</v>
      </c>
      <c r="L161" s="7">
        <v>10.31</v>
      </c>
      <c r="M161" s="7" t="s">
        <v>16</v>
      </c>
      <c r="N161" s="7">
        <f>VLOOKUP(M161,Sheet4!A:B,2,0)</f>
        <v>10</v>
      </c>
      <c r="O161" s="7">
        <v>0</v>
      </c>
      <c r="P161" s="7">
        <v>0.21</v>
      </c>
    </row>
    <row r="162" ht="15.3" spans="1:16">
      <c r="A162" s="12">
        <v>10.14</v>
      </c>
      <c r="B162" s="18">
        <v>10</v>
      </c>
      <c r="C162" s="14">
        <v>0</v>
      </c>
      <c r="D162" s="15">
        <v>949</v>
      </c>
      <c r="E162" s="14">
        <v>1388</v>
      </c>
      <c r="F162" s="19">
        <f t="shared" si="2"/>
        <v>2337</v>
      </c>
      <c r="G162" s="7">
        <v>18.45</v>
      </c>
      <c r="H162" s="7" t="s">
        <v>16</v>
      </c>
      <c r="I162" s="7">
        <f>VLOOKUP(H162,Sheet4!A:B,2,0)</f>
        <v>10</v>
      </c>
      <c r="J162" s="7">
        <v>0</v>
      </c>
      <c r="K162" s="7">
        <v>3.38</v>
      </c>
      <c r="L162" s="7">
        <v>16.26</v>
      </c>
      <c r="M162" s="7" t="s">
        <v>16</v>
      </c>
      <c r="N162" s="7">
        <f>VLOOKUP(M162,Sheet4!A:B,2,0)</f>
        <v>10</v>
      </c>
      <c r="O162" s="7">
        <v>0</v>
      </c>
      <c r="P162" s="7">
        <v>0.07</v>
      </c>
    </row>
    <row r="163" ht="15.3" spans="1:16">
      <c r="A163" s="12">
        <v>10.14</v>
      </c>
      <c r="B163" s="18">
        <v>12</v>
      </c>
      <c r="C163" s="14">
        <v>0</v>
      </c>
      <c r="D163" s="15">
        <v>822</v>
      </c>
      <c r="E163" s="14">
        <v>1517</v>
      </c>
      <c r="F163" s="19">
        <f t="shared" si="2"/>
        <v>2339</v>
      </c>
      <c r="G163" s="7">
        <v>18.25</v>
      </c>
      <c r="H163" s="7" t="s">
        <v>16</v>
      </c>
      <c r="I163" s="7">
        <f>VLOOKUP(H163,Sheet4!A:B,2,0)</f>
        <v>10</v>
      </c>
      <c r="J163" s="7">
        <v>0</v>
      </c>
      <c r="K163" s="7">
        <v>3.07</v>
      </c>
      <c r="L163" s="7">
        <v>19.46</v>
      </c>
      <c r="M163" s="7" t="s">
        <v>16</v>
      </c>
      <c r="N163" s="7">
        <f>VLOOKUP(M163,Sheet4!A:B,2,0)</f>
        <v>10</v>
      </c>
      <c r="O163" s="7">
        <v>0</v>
      </c>
      <c r="P163" s="7">
        <v>0.85</v>
      </c>
    </row>
    <row r="164" ht="15.3" spans="1:16">
      <c r="A164" s="12">
        <v>10.14</v>
      </c>
      <c r="B164" s="18">
        <v>14</v>
      </c>
      <c r="C164" s="14">
        <v>0</v>
      </c>
      <c r="D164" s="15">
        <v>1037</v>
      </c>
      <c r="E164" s="14">
        <v>1536</v>
      </c>
      <c r="F164" s="19">
        <f t="shared" si="2"/>
        <v>2573</v>
      </c>
      <c r="G164" s="7">
        <v>18.35</v>
      </c>
      <c r="H164" s="7" t="s">
        <v>16</v>
      </c>
      <c r="I164" s="7">
        <f>VLOOKUP(H164,Sheet4!A:B,2,0)</f>
        <v>10</v>
      </c>
      <c r="J164" s="7">
        <v>0</v>
      </c>
      <c r="K164" s="7">
        <v>2.61</v>
      </c>
      <c r="L164" s="7">
        <v>20.91</v>
      </c>
      <c r="M164" s="7" t="s">
        <v>16</v>
      </c>
      <c r="N164" s="7">
        <f>VLOOKUP(M164,Sheet4!A:B,2,0)</f>
        <v>10</v>
      </c>
      <c r="O164" s="7">
        <v>0</v>
      </c>
      <c r="P164" s="7">
        <v>1.74</v>
      </c>
    </row>
    <row r="165" ht="15.3" spans="1:16">
      <c r="A165" s="12">
        <v>10.14</v>
      </c>
      <c r="B165" s="18">
        <v>16</v>
      </c>
      <c r="C165" s="14">
        <v>0</v>
      </c>
      <c r="D165" s="15">
        <v>1570</v>
      </c>
      <c r="E165" s="14">
        <v>1712</v>
      </c>
      <c r="F165" s="19">
        <f t="shared" si="2"/>
        <v>3282</v>
      </c>
      <c r="G165" s="7">
        <v>18.95</v>
      </c>
      <c r="H165" s="7" t="s">
        <v>16</v>
      </c>
      <c r="I165" s="7">
        <f>VLOOKUP(H165,Sheet4!A:B,2,0)</f>
        <v>10</v>
      </c>
      <c r="J165" s="7">
        <v>0</v>
      </c>
      <c r="K165" s="7">
        <v>2.52</v>
      </c>
      <c r="L165" s="7">
        <v>21.36</v>
      </c>
      <c r="M165" s="7" t="s">
        <v>16</v>
      </c>
      <c r="N165" s="7">
        <f>VLOOKUP(M165,Sheet4!A:B,2,0)</f>
        <v>10</v>
      </c>
      <c r="O165" s="7">
        <v>0</v>
      </c>
      <c r="P165" s="7">
        <v>1.88</v>
      </c>
    </row>
    <row r="166" ht="15.3" spans="1:16">
      <c r="A166" s="12">
        <v>10.14</v>
      </c>
      <c r="B166" s="18">
        <v>18</v>
      </c>
      <c r="C166" s="14">
        <v>0</v>
      </c>
      <c r="D166" s="15">
        <v>1348</v>
      </c>
      <c r="E166" s="14">
        <v>1696</v>
      </c>
      <c r="F166" s="19">
        <f t="shared" si="2"/>
        <v>3044</v>
      </c>
      <c r="G166" s="7">
        <v>19.05</v>
      </c>
      <c r="H166" s="7" t="s">
        <v>16</v>
      </c>
      <c r="I166" s="7">
        <f>VLOOKUP(H166,Sheet4!A:B,2,0)</f>
        <v>10</v>
      </c>
      <c r="J166" s="7">
        <v>0</v>
      </c>
      <c r="K166" s="7">
        <v>1.93</v>
      </c>
      <c r="L166" s="7">
        <v>19.36</v>
      </c>
      <c r="M166" s="7" t="s">
        <v>16</v>
      </c>
      <c r="N166" s="7">
        <f>VLOOKUP(M166,Sheet4!A:B,2,0)</f>
        <v>10</v>
      </c>
      <c r="O166" s="7">
        <v>0</v>
      </c>
      <c r="P166" s="7">
        <v>1.69</v>
      </c>
    </row>
    <row r="167" ht="15.3" spans="1:16">
      <c r="A167" s="12">
        <v>10.14</v>
      </c>
      <c r="B167" s="18">
        <v>20</v>
      </c>
      <c r="C167" s="14">
        <v>0</v>
      </c>
      <c r="D167" s="15">
        <v>1202</v>
      </c>
      <c r="E167" s="14">
        <v>1377</v>
      </c>
      <c r="F167" s="19">
        <f t="shared" si="2"/>
        <v>2579</v>
      </c>
      <c r="G167" s="7">
        <v>18.95</v>
      </c>
      <c r="H167" s="7" t="s">
        <v>16</v>
      </c>
      <c r="I167" s="7">
        <f>VLOOKUP(H167,Sheet4!A:B,2,0)</f>
        <v>10</v>
      </c>
      <c r="J167" s="7">
        <v>0</v>
      </c>
      <c r="K167" s="7">
        <v>2.76</v>
      </c>
      <c r="L167" s="7">
        <v>16.76</v>
      </c>
      <c r="M167" s="7" t="s">
        <v>16</v>
      </c>
      <c r="N167" s="7">
        <f>VLOOKUP(M167,Sheet4!A:B,2,0)</f>
        <v>10</v>
      </c>
      <c r="O167" s="7">
        <v>0</v>
      </c>
      <c r="P167" s="7">
        <v>2.44</v>
      </c>
    </row>
    <row r="168" ht="15.3" spans="1:16">
      <c r="A168" s="12">
        <v>10.14</v>
      </c>
      <c r="B168" s="18">
        <v>22</v>
      </c>
      <c r="C168" s="14">
        <v>0</v>
      </c>
      <c r="D168" s="15">
        <v>1099</v>
      </c>
      <c r="E168" s="14">
        <v>679</v>
      </c>
      <c r="F168" s="19">
        <f t="shared" si="2"/>
        <v>1778</v>
      </c>
      <c r="G168" s="7">
        <v>19.2</v>
      </c>
      <c r="H168" s="7" t="s">
        <v>16</v>
      </c>
      <c r="I168" s="7">
        <f>VLOOKUP(H168,Sheet4!A:B,2,0)</f>
        <v>10</v>
      </c>
      <c r="J168" s="7">
        <v>0</v>
      </c>
      <c r="K168" s="7">
        <v>2.95</v>
      </c>
      <c r="L168" s="7">
        <v>16.01</v>
      </c>
      <c r="M168" s="7" t="s">
        <v>16</v>
      </c>
      <c r="N168" s="7">
        <f>VLOOKUP(M168,Sheet4!A:B,2,0)</f>
        <v>10</v>
      </c>
      <c r="O168" s="7">
        <v>0</v>
      </c>
      <c r="P168" s="7">
        <v>1.99</v>
      </c>
    </row>
    <row r="169" ht="15.3" spans="1:16">
      <c r="A169" s="12">
        <v>10.14</v>
      </c>
      <c r="B169" s="20">
        <v>24</v>
      </c>
      <c r="C169" s="14">
        <v>0</v>
      </c>
      <c r="D169" s="15">
        <v>976</v>
      </c>
      <c r="E169" s="14">
        <v>652</v>
      </c>
      <c r="F169" s="19">
        <f t="shared" si="2"/>
        <v>1628</v>
      </c>
      <c r="G169" s="7">
        <v>19.05</v>
      </c>
      <c r="H169" s="7" t="s">
        <v>16</v>
      </c>
      <c r="I169" s="7">
        <f>VLOOKUP(H169,Sheet4!A:B,2,0)</f>
        <v>10</v>
      </c>
      <c r="J169" s="7">
        <v>0</v>
      </c>
      <c r="K169" s="7">
        <v>2.82</v>
      </c>
      <c r="L169" s="7">
        <v>15.56</v>
      </c>
      <c r="M169" s="7" t="s">
        <v>16</v>
      </c>
      <c r="N169" s="7">
        <f>VLOOKUP(M169,Sheet4!A:B,2,0)</f>
        <v>10</v>
      </c>
      <c r="O169" s="7">
        <v>0</v>
      </c>
      <c r="P169" s="7">
        <v>2.64</v>
      </c>
    </row>
    <row r="170" ht="15.3" spans="1:16">
      <c r="A170" s="12">
        <v>10.15</v>
      </c>
      <c r="B170" s="18">
        <v>2</v>
      </c>
      <c r="C170" s="14">
        <v>0</v>
      </c>
      <c r="D170" s="15">
        <v>699</v>
      </c>
      <c r="E170" s="14">
        <v>671</v>
      </c>
      <c r="F170" s="19">
        <f t="shared" si="2"/>
        <v>1370</v>
      </c>
      <c r="G170" s="7">
        <v>19.15</v>
      </c>
      <c r="H170" s="7" t="s">
        <v>16</v>
      </c>
      <c r="I170" s="7">
        <f>VLOOKUP(H170,Sheet4!A:B,2,0)</f>
        <v>10</v>
      </c>
      <c r="J170" s="7">
        <v>0</v>
      </c>
      <c r="K170" s="7">
        <v>3.44</v>
      </c>
      <c r="L170" s="7">
        <v>15.41</v>
      </c>
      <c r="M170" s="7" t="s">
        <v>16</v>
      </c>
      <c r="N170" s="7">
        <f>VLOOKUP(M170,Sheet4!A:B,2,0)</f>
        <v>10</v>
      </c>
      <c r="O170" s="7">
        <v>0</v>
      </c>
      <c r="P170" s="7">
        <v>2.48</v>
      </c>
    </row>
    <row r="171" ht="15.3" spans="1:16">
      <c r="A171" s="12">
        <v>10.15</v>
      </c>
      <c r="B171" s="18">
        <v>4</v>
      </c>
      <c r="C171" s="14">
        <v>0</v>
      </c>
      <c r="D171" s="15">
        <v>595</v>
      </c>
      <c r="E171" s="14">
        <v>360</v>
      </c>
      <c r="F171" s="19">
        <f t="shared" si="2"/>
        <v>955</v>
      </c>
      <c r="G171" s="7">
        <v>19.15</v>
      </c>
      <c r="H171" s="7" t="s">
        <v>16</v>
      </c>
      <c r="I171" s="7">
        <f>VLOOKUP(H171,Sheet4!A:B,2,0)</f>
        <v>10</v>
      </c>
      <c r="J171" s="7">
        <v>0</v>
      </c>
      <c r="K171" s="7">
        <v>3.61</v>
      </c>
      <c r="L171" s="7">
        <v>14.96</v>
      </c>
      <c r="M171" s="7" t="s">
        <v>16</v>
      </c>
      <c r="N171" s="7">
        <f>VLOOKUP(M171,Sheet4!A:B,2,0)</f>
        <v>10</v>
      </c>
      <c r="O171" s="7">
        <v>0</v>
      </c>
      <c r="P171" s="7">
        <v>1.88</v>
      </c>
    </row>
    <row r="172" ht="15.3" spans="1:16">
      <c r="A172" s="12">
        <v>10.15</v>
      </c>
      <c r="B172" s="18">
        <v>6</v>
      </c>
      <c r="C172" s="14">
        <v>0</v>
      </c>
      <c r="D172" s="15">
        <v>624</v>
      </c>
      <c r="E172" s="14">
        <v>509</v>
      </c>
      <c r="F172" s="19">
        <f t="shared" si="2"/>
        <v>1133</v>
      </c>
      <c r="G172" s="7">
        <v>19.35</v>
      </c>
      <c r="H172" s="7" t="s">
        <v>16</v>
      </c>
      <c r="I172" s="7">
        <f>VLOOKUP(H172,Sheet4!A:B,2,0)</f>
        <v>10</v>
      </c>
      <c r="J172" s="7">
        <v>0</v>
      </c>
      <c r="K172" s="7">
        <v>3.48</v>
      </c>
      <c r="L172" s="7">
        <v>14.11</v>
      </c>
      <c r="M172" s="7" t="s">
        <v>16</v>
      </c>
      <c r="N172" s="7">
        <f>VLOOKUP(M172,Sheet4!A:B,2,0)</f>
        <v>10</v>
      </c>
      <c r="O172" s="7">
        <v>0</v>
      </c>
      <c r="P172" s="7">
        <v>1.31</v>
      </c>
    </row>
    <row r="173" ht="15.3" spans="1:16">
      <c r="A173" s="12">
        <v>10.15</v>
      </c>
      <c r="B173" s="18">
        <v>8</v>
      </c>
      <c r="C173" s="14">
        <v>0</v>
      </c>
      <c r="D173" s="15">
        <v>991</v>
      </c>
      <c r="E173" s="14">
        <v>1151</v>
      </c>
      <c r="F173" s="19">
        <f t="shared" si="2"/>
        <v>2142</v>
      </c>
      <c r="G173" s="7">
        <v>19.35</v>
      </c>
      <c r="H173" s="7" t="s">
        <v>16</v>
      </c>
      <c r="I173" s="7">
        <f>VLOOKUP(H173,Sheet4!A:B,2,0)</f>
        <v>10</v>
      </c>
      <c r="J173" s="7">
        <v>0</v>
      </c>
      <c r="K173" s="7">
        <v>4.79</v>
      </c>
      <c r="L173" s="7">
        <v>14.71</v>
      </c>
      <c r="M173" s="7" t="s">
        <v>16</v>
      </c>
      <c r="N173" s="7">
        <f>VLOOKUP(M173,Sheet4!A:B,2,0)</f>
        <v>10</v>
      </c>
      <c r="O173" s="7">
        <v>0</v>
      </c>
      <c r="P173" s="7">
        <v>2.35</v>
      </c>
    </row>
    <row r="174" ht="15.3" spans="1:16">
      <c r="A174" s="12">
        <v>10.15</v>
      </c>
      <c r="B174" s="18">
        <v>10</v>
      </c>
      <c r="C174" s="14">
        <v>0</v>
      </c>
      <c r="D174" s="15">
        <v>1254</v>
      </c>
      <c r="E174" s="14">
        <v>1412</v>
      </c>
      <c r="F174" s="19">
        <f t="shared" si="2"/>
        <v>2666</v>
      </c>
      <c r="G174" s="7">
        <v>19.2</v>
      </c>
      <c r="H174" s="7" t="s">
        <v>16</v>
      </c>
      <c r="I174" s="7">
        <f>VLOOKUP(H174,Sheet4!A:B,2,0)</f>
        <v>10</v>
      </c>
      <c r="J174" s="7">
        <v>0</v>
      </c>
      <c r="K174" s="7">
        <v>4.97</v>
      </c>
      <c r="L174" s="7">
        <v>16.76</v>
      </c>
      <c r="M174" s="7" t="s">
        <v>16</v>
      </c>
      <c r="N174" s="7">
        <f>VLOOKUP(M174,Sheet4!A:B,2,0)</f>
        <v>10</v>
      </c>
      <c r="O174" s="7">
        <v>0</v>
      </c>
      <c r="P174" s="7">
        <v>1.58</v>
      </c>
    </row>
    <row r="175" ht="15.3" spans="1:16">
      <c r="A175" s="12">
        <v>10.15</v>
      </c>
      <c r="B175" s="18">
        <v>12</v>
      </c>
      <c r="C175" s="14">
        <v>0</v>
      </c>
      <c r="D175" s="15">
        <v>1103</v>
      </c>
      <c r="E175" s="14">
        <v>1523</v>
      </c>
      <c r="F175" s="19">
        <f t="shared" si="2"/>
        <v>2626</v>
      </c>
      <c r="G175" s="7">
        <v>19.25</v>
      </c>
      <c r="H175" s="7" t="s">
        <v>16</v>
      </c>
      <c r="I175" s="7">
        <f>VLOOKUP(H175,Sheet4!A:B,2,0)</f>
        <v>10</v>
      </c>
      <c r="J175" s="7">
        <v>0</v>
      </c>
      <c r="K175" s="7">
        <v>3.66</v>
      </c>
      <c r="L175" s="7">
        <v>18.66</v>
      </c>
      <c r="M175" s="7" t="s">
        <v>16</v>
      </c>
      <c r="N175" s="7">
        <f>VLOOKUP(M175,Sheet4!A:B,2,0)</f>
        <v>10</v>
      </c>
      <c r="O175" s="7">
        <v>0</v>
      </c>
      <c r="P175" s="7">
        <v>1.57</v>
      </c>
    </row>
    <row r="176" ht="15.3" spans="1:16">
      <c r="A176" s="12">
        <v>10.15</v>
      </c>
      <c r="B176" s="18">
        <v>14</v>
      </c>
      <c r="C176" s="14">
        <v>0</v>
      </c>
      <c r="D176" s="15">
        <v>1175</v>
      </c>
      <c r="E176" s="14">
        <v>1532</v>
      </c>
      <c r="F176" s="19">
        <f t="shared" si="2"/>
        <v>2707</v>
      </c>
      <c r="G176" s="7">
        <v>19.4</v>
      </c>
      <c r="H176" s="7" t="s">
        <v>16</v>
      </c>
      <c r="I176" s="7">
        <f>VLOOKUP(H176,Sheet4!A:B,2,0)</f>
        <v>10</v>
      </c>
      <c r="J176" s="7">
        <v>0</v>
      </c>
      <c r="K176" s="7">
        <v>2.88</v>
      </c>
      <c r="L176" s="7">
        <v>18.41</v>
      </c>
      <c r="M176" s="7" t="s">
        <v>16</v>
      </c>
      <c r="N176" s="7">
        <f>VLOOKUP(M176,Sheet4!A:B,2,0)</f>
        <v>10</v>
      </c>
      <c r="O176" s="7">
        <v>0.1</v>
      </c>
      <c r="P176" s="7">
        <v>0.89</v>
      </c>
    </row>
    <row r="177" ht="15.3" spans="1:16">
      <c r="A177" s="12">
        <v>10.15</v>
      </c>
      <c r="B177" s="18">
        <v>16</v>
      </c>
      <c r="C177" s="14">
        <v>0</v>
      </c>
      <c r="D177" s="15">
        <v>1263</v>
      </c>
      <c r="E177" s="14">
        <v>1619</v>
      </c>
      <c r="F177" s="19">
        <f t="shared" si="2"/>
        <v>2882</v>
      </c>
      <c r="G177" s="7">
        <v>19.05</v>
      </c>
      <c r="H177" s="7" t="s">
        <v>17</v>
      </c>
      <c r="I177" s="7">
        <f>VLOOKUP(H177,Sheet4!A:B,2,0)</f>
        <v>5</v>
      </c>
      <c r="J177" s="7">
        <v>0.4</v>
      </c>
      <c r="K177" s="7">
        <v>5.18</v>
      </c>
      <c r="L177" s="7">
        <v>17.81</v>
      </c>
      <c r="M177" s="7" t="s">
        <v>20</v>
      </c>
      <c r="N177" s="7">
        <f>VLOOKUP(M177,Sheet4!A:B,2,0)</f>
        <v>4</v>
      </c>
      <c r="O177" s="7">
        <v>1.4</v>
      </c>
      <c r="P177" s="7">
        <v>0.96</v>
      </c>
    </row>
    <row r="178" ht="15.3" spans="1:16">
      <c r="A178" s="12">
        <v>10.15</v>
      </c>
      <c r="B178" s="18">
        <v>18</v>
      </c>
      <c r="C178" s="14">
        <v>0</v>
      </c>
      <c r="D178" s="15">
        <v>1402</v>
      </c>
      <c r="E178" s="14">
        <v>1534</v>
      </c>
      <c r="F178" s="19">
        <f t="shared" si="2"/>
        <v>2936</v>
      </c>
      <c r="G178" s="7">
        <v>18.8</v>
      </c>
      <c r="H178" s="7" t="s">
        <v>16</v>
      </c>
      <c r="I178" s="7">
        <f>VLOOKUP(H178,Sheet4!A:B,2,0)</f>
        <v>10</v>
      </c>
      <c r="J178" s="7">
        <v>0.2</v>
      </c>
      <c r="K178" s="7">
        <v>5.11</v>
      </c>
      <c r="L178" s="7">
        <v>17.46</v>
      </c>
      <c r="M178" s="7" t="s">
        <v>16</v>
      </c>
      <c r="N178" s="7">
        <f>VLOOKUP(M178,Sheet4!A:B,2,0)</f>
        <v>10</v>
      </c>
      <c r="O178" s="7">
        <v>0</v>
      </c>
      <c r="P178" s="7">
        <v>0.96</v>
      </c>
    </row>
    <row r="179" ht="15.3" spans="1:16">
      <c r="A179" s="12">
        <v>10.15</v>
      </c>
      <c r="B179" s="18">
        <v>20</v>
      </c>
      <c r="C179" s="14">
        <v>0</v>
      </c>
      <c r="D179" s="15">
        <v>1201</v>
      </c>
      <c r="E179" s="14">
        <v>1288</v>
      </c>
      <c r="F179" s="19">
        <f t="shared" si="2"/>
        <v>2489</v>
      </c>
      <c r="G179" s="7">
        <v>18.9</v>
      </c>
      <c r="H179" s="7" t="s">
        <v>16</v>
      </c>
      <c r="I179" s="7">
        <f>VLOOKUP(H179,Sheet4!A:B,2,0)</f>
        <v>10</v>
      </c>
      <c r="J179" s="7">
        <v>0.1</v>
      </c>
      <c r="K179" s="7">
        <v>4.89</v>
      </c>
      <c r="L179" s="7">
        <v>15.66</v>
      </c>
      <c r="M179" s="7" t="s">
        <v>16</v>
      </c>
      <c r="N179" s="7">
        <f>VLOOKUP(M179,Sheet4!A:B,2,0)</f>
        <v>10</v>
      </c>
      <c r="O179" s="7">
        <v>0</v>
      </c>
      <c r="P179" s="7">
        <v>1.46</v>
      </c>
    </row>
    <row r="180" ht="15.3" spans="1:16">
      <c r="A180" s="12">
        <v>10.15</v>
      </c>
      <c r="B180" s="18">
        <v>22</v>
      </c>
      <c r="C180" s="14">
        <v>0</v>
      </c>
      <c r="D180" s="15">
        <v>1159</v>
      </c>
      <c r="E180" s="14">
        <v>1029</v>
      </c>
      <c r="F180" s="19">
        <f t="shared" si="2"/>
        <v>2188</v>
      </c>
      <c r="G180" s="7">
        <v>18.1</v>
      </c>
      <c r="H180" s="7" t="s">
        <v>16</v>
      </c>
      <c r="I180" s="7">
        <f>VLOOKUP(H180,Sheet4!A:B,2,0)</f>
        <v>10</v>
      </c>
      <c r="J180" s="7">
        <v>0.1</v>
      </c>
      <c r="K180" s="7">
        <v>7.9</v>
      </c>
      <c r="L180" s="7">
        <v>14.81</v>
      </c>
      <c r="M180" s="7" t="s">
        <v>16</v>
      </c>
      <c r="N180" s="7">
        <f>VLOOKUP(M180,Sheet4!A:B,2,0)</f>
        <v>10</v>
      </c>
      <c r="O180" s="7">
        <v>0</v>
      </c>
      <c r="P180" s="7">
        <v>0.56</v>
      </c>
    </row>
    <row r="181" ht="15.3" spans="1:16">
      <c r="A181" s="12">
        <v>10.15</v>
      </c>
      <c r="B181" s="20">
        <v>24</v>
      </c>
      <c r="C181" s="14">
        <v>0</v>
      </c>
      <c r="D181" s="15">
        <v>1023</v>
      </c>
      <c r="E181" s="14">
        <v>640</v>
      </c>
      <c r="F181" s="19">
        <f t="shared" si="2"/>
        <v>1663</v>
      </c>
      <c r="G181" s="7">
        <v>17.55</v>
      </c>
      <c r="H181" s="7" t="s">
        <v>16</v>
      </c>
      <c r="I181" s="7">
        <f>VLOOKUP(H181,Sheet4!A:B,2,0)</f>
        <v>10</v>
      </c>
      <c r="J181" s="7">
        <v>0.1</v>
      </c>
      <c r="K181" s="7">
        <v>10.87</v>
      </c>
      <c r="L181" s="7">
        <v>13.76</v>
      </c>
      <c r="M181" s="7" t="s">
        <v>18</v>
      </c>
      <c r="N181" s="7">
        <f>VLOOKUP(M181,Sheet4!A:B,2,0)</f>
        <v>6</v>
      </c>
      <c r="O181" s="7">
        <v>0</v>
      </c>
      <c r="P181" s="7">
        <v>1.53</v>
      </c>
    </row>
    <row r="182" ht="15.3" spans="1:16">
      <c r="A182" s="12">
        <v>10.16</v>
      </c>
      <c r="B182" s="18">
        <v>2</v>
      </c>
      <c r="C182" s="14">
        <v>0</v>
      </c>
      <c r="D182" s="15">
        <v>685</v>
      </c>
      <c r="E182" s="14">
        <v>273</v>
      </c>
      <c r="F182" s="19">
        <f t="shared" si="2"/>
        <v>958</v>
      </c>
      <c r="G182" s="7">
        <v>16.7</v>
      </c>
      <c r="H182" s="7" t="s">
        <v>16</v>
      </c>
      <c r="I182" s="7">
        <f>VLOOKUP(H182,Sheet4!A:B,2,0)</f>
        <v>10</v>
      </c>
      <c r="J182" s="7">
        <v>0</v>
      </c>
      <c r="K182" s="7">
        <v>12.83</v>
      </c>
      <c r="L182" s="7">
        <v>13.86</v>
      </c>
      <c r="M182" s="7" t="s">
        <v>18</v>
      </c>
      <c r="N182" s="7">
        <f>VLOOKUP(M182,Sheet4!A:B,2,0)</f>
        <v>6</v>
      </c>
      <c r="O182" s="7">
        <v>0</v>
      </c>
      <c r="P182" s="7">
        <v>2.19</v>
      </c>
    </row>
    <row r="183" ht="15.3" spans="1:16">
      <c r="A183" s="12">
        <v>10.16</v>
      </c>
      <c r="B183" s="18">
        <v>4</v>
      </c>
      <c r="C183" s="14">
        <v>0</v>
      </c>
      <c r="D183" s="15">
        <v>480</v>
      </c>
      <c r="E183" s="14">
        <v>183</v>
      </c>
      <c r="F183" s="19">
        <f t="shared" si="2"/>
        <v>663</v>
      </c>
      <c r="G183" s="7">
        <v>15.7</v>
      </c>
      <c r="H183" s="7" t="s">
        <v>16</v>
      </c>
      <c r="I183" s="7">
        <f>VLOOKUP(H183,Sheet4!A:B,2,0)</f>
        <v>10</v>
      </c>
      <c r="J183" s="7">
        <v>0</v>
      </c>
      <c r="K183" s="7">
        <v>12.63</v>
      </c>
      <c r="L183" s="7">
        <v>14.11</v>
      </c>
      <c r="M183" s="7" t="s">
        <v>18</v>
      </c>
      <c r="N183" s="7">
        <f>VLOOKUP(M183,Sheet4!A:B,2,0)</f>
        <v>6</v>
      </c>
      <c r="O183" s="7">
        <v>0</v>
      </c>
      <c r="P183" s="7">
        <v>1.94</v>
      </c>
    </row>
    <row r="184" ht="15.3" spans="1:16">
      <c r="A184" s="12">
        <v>10.16</v>
      </c>
      <c r="B184" s="18">
        <v>6</v>
      </c>
      <c r="C184" s="14">
        <v>0</v>
      </c>
      <c r="D184" s="15">
        <v>481</v>
      </c>
      <c r="E184" s="14">
        <v>322</v>
      </c>
      <c r="F184" s="19">
        <f t="shared" si="2"/>
        <v>803</v>
      </c>
      <c r="G184" s="7">
        <v>14.75</v>
      </c>
      <c r="H184" s="7" t="s">
        <v>18</v>
      </c>
      <c r="I184" s="7">
        <f>VLOOKUP(H184,Sheet4!A:B,2,0)</f>
        <v>6</v>
      </c>
      <c r="J184" s="7">
        <v>0</v>
      </c>
      <c r="K184" s="7">
        <v>12.47</v>
      </c>
      <c r="L184" s="7">
        <v>13.86</v>
      </c>
      <c r="M184" s="7" t="s">
        <v>18</v>
      </c>
      <c r="N184" s="7">
        <f>VLOOKUP(M184,Sheet4!A:B,2,0)</f>
        <v>6</v>
      </c>
      <c r="O184" s="7">
        <v>0</v>
      </c>
      <c r="P184" s="7">
        <v>2.05</v>
      </c>
    </row>
    <row r="185" ht="15.3" spans="1:16">
      <c r="A185" s="12">
        <v>10.16</v>
      </c>
      <c r="B185" s="18">
        <v>8</v>
      </c>
      <c r="C185" s="14">
        <v>0</v>
      </c>
      <c r="D185" s="15">
        <v>1029</v>
      </c>
      <c r="E185" s="14">
        <v>1136</v>
      </c>
      <c r="F185" s="19">
        <f t="shared" si="2"/>
        <v>2165</v>
      </c>
      <c r="G185" s="7">
        <v>13.9</v>
      </c>
      <c r="H185" s="7" t="s">
        <v>18</v>
      </c>
      <c r="I185" s="7">
        <f>VLOOKUP(H185,Sheet4!A:B,2,0)</f>
        <v>6</v>
      </c>
      <c r="J185" s="7">
        <v>0</v>
      </c>
      <c r="K185" s="7">
        <v>12.4</v>
      </c>
      <c r="L185" s="7">
        <v>14.71</v>
      </c>
      <c r="M185" s="7" t="s">
        <v>18</v>
      </c>
      <c r="N185" s="7">
        <f>VLOOKUP(M185,Sheet4!A:B,2,0)</f>
        <v>6</v>
      </c>
      <c r="O185" s="7">
        <v>0</v>
      </c>
      <c r="P185" s="7">
        <v>3.46</v>
      </c>
    </row>
    <row r="186" ht="15.3" spans="1:16">
      <c r="A186" s="12">
        <v>10.16</v>
      </c>
      <c r="B186" s="18">
        <v>10</v>
      </c>
      <c r="C186" s="14">
        <v>0</v>
      </c>
      <c r="D186" s="15">
        <v>1308</v>
      </c>
      <c r="E186" s="14">
        <v>1583</v>
      </c>
      <c r="F186" s="19">
        <f t="shared" si="2"/>
        <v>2891</v>
      </c>
      <c r="G186" s="7">
        <v>13.55</v>
      </c>
      <c r="H186" s="7" t="s">
        <v>18</v>
      </c>
      <c r="I186" s="7">
        <f>VLOOKUP(H186,Sheet4!A:B,2,0)</f>
        <v>6</v>
      </c>
      <c r="J186" s="7">
        <v>0</v>
      </c>
      <c r="K186" s="7">
        <v>11.91</v>
      </c>
      <c r="L186" s="7">
        <v>17.01</v>
      </c>
      <c r="M186" s="7" t="s">
        <v>16</v>
      </c>
      <c r="N186" s="7">
        <f>VLOOKUP(M186,Sheet4!A:B,2,0)</f>
        <v>10</v>
      </c>
      <c r="O186" s="7">
        <v>0</v>
      </c>
      <c r="P186" s="7">
        <v>5.33</v>
      </c>
    </row>
    <row r="187" ht="15.3" spans="1:16">
      <c r="A187" s="12">
        <v>10.16</v>
      </c>
      <c r="B187" s="18">
        <v>12</v>
      </c>
      <c r="C187" s="14">
        <v>0</v>
      </c>
      <c r="D187" s="15">
        <v>1393</v>
      </c>
      <c r="E187" s="14">
        <v>1505</v>
      </c>
      <c r="F187" s="19">
        <f t="shared" si="2"/>
        <v>2898</v>
      </c>
      <c r="G187" s="7">
        <v>13.65</v>
      </c>
      <c r="H187" s="7" t="s">
        <v>18</v>
      </c>
      <c r="I187" s="7">
        <f>VLOOKUP(H187,Sheet4!A:B,2,0)</f>
        <v>6</v>
      </c>
      <c r="J187" s="7">
        <v>0</v>
      </c>
      <c r="K187" s="7">
        <v>10.65</v>
      </c>
      <c r="L187" s="7">
        <v>17.96</v>
      </c>
      <c r="M187" s="7" t="s">
        <v>18</v>
      </c>
      <c r="N187" s="7">
        <f>VLOOKUP(M187,Sheet4!A:B,2,0)</f>
        <v>6</v>
      </c>
      <c r="O187" s="7">
        <v>0</v>
      </c>
      <c r="P187" s="7">
        <v>5.11</v>
      </c>
    </row>
    <row r="188" ht="15.3" spans="1:16">
      <c r="A188" s="12">
        <v>10.16</v>
      </c>
      <c r="B188" s="18">
        <v>14</v>
      </c>
      <c r="C188" s="14">
        <v>0</v>
      </c>
      <c r="D188" s="15">
        <v>1298</v>
      </c>
      <c r="E188" s="14">
        <v>1487</v>
      </c>
      <c r="F188" s="19">
        <f t="shared" si="2"/>
        <v>2785</v>
      </c>
      <c r="G188" s="7">
        <v>13.9</v>
      </c>
      <c r="H188" s="7" t="s">
        <v>18</v>
      </c>
      <c r="I188" s="7">
        <f>VLOOKUP(H188,Sheet4!A:B,2,0)</f>
        <v>6</v>
      </c>
      <c r="J188" s="7">
        <v>0</v>
      </c>
      <c r="K188" s="7">
        <v>9.82</v>
      </c>
      <c r="L188" s="7">
        <v>18.46</v>
      </c>
      <c r="M188" s="7" t="s">
        <v>19</v>
      </c>
      <c r="N188" s="7">
        <f>VLOOKUP(M188,Sheet4!A:B,2,0)</f>
        <v>8</v>
      </c>
      <c r="O188" s="7">
        <v>0</v>
      </c>
      <c r="P188" s="7">
        <v>4.79</v>
      </c>
    </row>
    <row r="189" ht="15.3" spans="1:16">
      <c r="A189" s="12">
        <v>10.16</v>
      </c>
      <c r="B189" s="18">
        <v>16</v>
      </c>
      <c r="C189" s="14">
        <v>0</v>
      </c>
      <c r="D189" s="15">
        <v>1327</v>
      </c>
      <c r="E189" s="14">
        <v>1683</v>
      </c>
      <c r="F189" s="19">
        <f t="shared" si="2"/>
        <v>3010</v>
      </c>
      <c r="G189" s="7">
        <v>14.45</v>
      </c>
      <c r="H189" s="7" t="s">
        <v>19</v>
      </c>
      <c r="I189" s="7">
        <f>VLOOKUP(H189,Sheet4!A:B,2,0)</f>
        <v>8</v>
      </c>
      <c r="J189" s="7">
        <v>0</v>
      </c>
      <c r="K189" s="7">
        <v>9.44</v>
      </c>
      <c r="L189" s="7">
        <v>17.81</v>
      </c>
      <c r="M189" s="7" t="s">
        <v>18</v>
      </c>
      <c r="N189" s="7">
        <f>VLOOKUP(M189,Sheet4!A:B,2,0)</f>
        <v>6</v>
      </c>
      <c r="O189" s="7">
        <v>0</v>
      </c>
      <c r="P189" s="7">
        <v>3.78</v>
      </c>
    </row>
    <row r="190" ht="15.3" spans="1:16">
      <c r="A190" s="12">
        <v>10.16</v>
      </c>
      <c r="B190" s="18">
        <v>18</v>
      </c>
      <c r="C190" s="14">
        <v>0</v>
      </c>
      <c r="D190" s="15">
        <v>1289</v>
      </c>
      <c r="E190" s="14">
        <v>1635</v>
      </c>
      <c r="F190" s="19">
        <f t="shared" si="2"/>
        <v>2924</v>
      </c>
      <c r="G190" s="7">
        <v>15.1</v>
      </c>
      <c r="H190" s="7" t="s">
        <v>19</v>
      </c>
      <c r="I190" s="7">
        <f>VLOOKUP(H190,Sheet4!A:B,2,0)</f>
        <v>8</v>
      </c>
      <c r="J190" s="7">
        <v>0</v>
      </c>
      <c r="K190" s="7">
        <v>8.18</v>
      </c>
      <c r="L190" s="7">
        <v>16.51</v>
      </c>
      <c r="M190" s="7" t="s">
        <v>18</v>
      </c>
      <c r="N190" s="7">
        <f>VLOOKUP(M190,Sheet4!A:B,2,0)</f>
        <v>6</v>
      </c>
      <c r="O190" s="7">
        <v>0</v>
      </c>
      <c r="P190" s="7">
        <v>2.82</v>
      </c>
    </row>
    <row r="191" ht="15.3" spans="1:16">
      <c r="A191" s="12">
        <v>10.16</v>
      </c>
      <c r="B191" s="18">
        <v>20</v>
      </c>
      <c r="C191" s="14">
        <v>0</v>
      </c>
      <c r="D191" s="15">
        <v>1158</v>
      </c>
      <c r="E191" s="14">
        <v>1313</v>
      </c>
      <c r="F191" s="19">
        <f t="shared" si="2"/>
        <v>2471</v>
      </c>
      <c r="G191" s="7">
        <v>15.2</v>
      </c>
      <c r="H191" s="7" t="s">
        <v>16</v>
      </c>
      <c r="I191" s="7">
        <f>VLOOKUP(H191,Sheet4!A:B,2,0)</f>
        <v>10</v>
      </c>
      <c r="J191" s="7">
        <v>0</v>
      </c>
      <c r="K191" s="7">
        <v>8.95</v>
      </c>
      <c r="L191" s="7">
        <v>14.41</v>
      </c>
      <c r="M191" s="7" t="s">
        <v>16</v>
      </c>
      <c r="N191" s="7">
        <f>VLOOKUP(M191,Sheet4!A:B,2,0)</f>
        <v>10</v>
      </c>
      <c r="O191" s="7">
        <v>0</v>
      </c>
      <c r="P191" s="7">
        <v>2.55</v>
      </c>
    </row>
    <row r="192" ht="15.3" spans="1:16">
      <c r="A192" s="12">
        <v>10.16</v>
      </c>
      <c r="B192" s="18">
        <v>22</v>
      </c>
      <c r="C192" s="14">
        <v>0</v>
      </c>
      <c r="D192" s="15">
        <v>1069</v>
      </c>
      <c r="E192" s="14">
        <v>1156</v>
      </c>
      <c r="F192" s="19">
        <f t="shared" si="2"/>
        <v>2225</v>
      </c>
      <c r="G192" s="7">
        <v>15.35</v>
      </c>
      <c r="H192" s="7" t="s">
        <v>16</v>
      </c>
      <c r="I192" s="7">
        <f>VLOOKUP(H192,Sheet4!A:B,2,0)</f>
        <v>10</v>
      </c>
      <c r="J192" s="7">
        <v>0</v>
      </c>
      <c r="K192" s="7">
        <v>7.21</v>
      </c>
      <c r="L192" s="7">
        <v>14.46</v>
      </c>
      <c r="M192" s="7" t="s">
        <v>16</v>
      </c>
      <c r="N192" s="7">
        <f>VLOOKUP(M192,Sheet4!A:B,2,0)</f>
        <v>10</v>
      </c>
      <c r="O192" s="7">
        <v>0</v>
      </c>
      <c r="P192" s="7">
        <v>3.52</v>
      </c>
    </row>
    <row r="193" ht="15.3" spans="1:16">
      <c r="A193" s="12">
        <v>10.16</v>
      </c>
      <c r="B193" s="20">
        <v>24</v>
      </c>
      <c r="C193" s="14">
        <v>0</v>
      </c>
      <c r="D193" s="15">
        <v>867</v>
      </c>
      <c r="E193" s="14">
        <v>789</v>
      </c>
      <c r="F193" s="19">
        <f t="shared" si="2"/>
        <v>1656</v>
      </c>
      <c r="G193" s="7">
        <v>15.3</v>
      </c>
      <c r="H193" s="7" t="s">
        <v>16</v>
      </c>
      <c r="I193" s="7">
        <f>VLOOKUP(H193,Sheet4!A:B,2,0)</f>
        <v>10</v>
      </c>
      <c r="J193" s="7">
        <v>0</v>
      </c>
      <c r="K193" s="7">
        <v>7.22</v>
      </c>
      <c r="L193" s="7">
        <v>13.91</v>
      </c>
      <c r="M193" s="7" t="s">
        <v>16</v>
      </c>
      <c r="N193" s="7">
        <f>VLOOKUP(M193,Sheet4!A:B,2,0)</f>
        <v>10</v>
      </c>
      <c r="O193" s="7">
        <v>0</v>
      </c>
      <c r="P193" s="7">
        <v>2.39</v>
      </c>
    </row>
    <row r="194" ht="15.3" spans="1:16">
      <c r="A194" s="12">
        <v>10.17</v>
      </c>
      <c r="B194" s="18">
        <v>2</v>
      </c>
      <c r="C194" s="14">
        <v>0</v>
      </c>
      <c r="D194" s="15">
        <v>554</v>
      </c>
      <c r="E194" s="14">
        <v>470</v>
      </c>
      <c r="F194" s="19">
        <f t="shared" si="2"/>
        <v>1024</v>
      </c>
      <c r="G194" s="7">
        <v>15.4</v>
      </c>
      <c r="H194" s="7" t="s">
        <v>16</v>
      </c>
      <c r="I194" s="7">
        <f>VLOOKUP(H194,Sheet4!A:B,2,0)</f>
        <v>10</v>
      </c>
      <c r="J194" s="7">
        <v>0</v>
      </c>
      <c r="K194" s="7">
        <v>6.71</v>
      </c>
      <c r="L194" s="7">
        <v>13.31</v>
      </c>
      <c r="M194" s="7" t="s">
        <v>16</v>
      </c>
      <c r="N194" s="7">
        <f>VLOOKUP(M194,Sheet4!A:B,2,0)</f>
        <v>10</v>
      </c>
      <c r="O194" s="7">
        <v>0</v>
      </c>
      <c r="P194" s="7">
        <v>2.1</v>
      </c>
    </row>
    <row r="195" ht="15.3" spans="1:16">
      <c r="A195" s="12">
        <v>10.17</v>
      </c>
      <c r="B195" s="18">
        <v>4</v>
      </c>
      <c r="C195" s="14">
        <v>0</v>
      </c>
      <c r="D195" s="15">
        <v>440</v>
      </c>
      <c r="E195" s="14">
        <v>355</v>
      </c>
      <c r="F195" s="19">
        <f t="shared" ref="F195:F258" si="3">D195+E195</f>
        <v>795</v>
      </c>
      <c r="G195" s="7">
        <v>15.4</v>
      </c>
      <c r="H195" s="7" t="s">
        <v>19</v>
      </c>
      <c r="I195" s="7">
        <f>VLOOKUP(H195,Sheet4!A:B,2,0)</f>
        <v>8</v>
      </c>
      <c r="J195" s="7">
        <v>0</v>
      </c>
      <c r="K195" s="7">
        <v>5.63</v>
      </c>
      <c r="L195" s="7">
        <v>13.11</v>
      </c>
      <c r="M195" s="7" t="s">
        <v>16</v>
      </c>
      <c r="N195" s="7">
        <f>VLOOKUP(M195,Sheet4!A:B,2,0)</f>
        <v>10</v>
      </c>
      <c r="O195" s="7">
        <v>0</v>
      </c>
      <c r="P195" s="7">
        <v>2.34</v>
      </c>
    </row>
    <row r="196" ht="15.3" spans="1:16">
      <c r="A196" s="12">
        <v>10.17</v>
      </c>
      <c r="B196" s="18">
        <v>6</v>
      </c>
      <c r="C196" s="14">
        <v>0</v>
      </c>
      <c r="D196" s="15">
        <v>423</v>
      </c>
      <c r="E196" s="14">
        <v>484</v>
      </c>
      <c r="F196" s="19">
        <f t="shared" si="3"/>
        <v>907</v>
      </c>
      <c r="G196" s="7">
        <v>14.55</v>
      </c>
      <c r="H196" s="7" t="s">
        <v>16</v>
      </c>
      <c r="I196" s="7">
        <f>VLOOKUP(H196,Sheet4!A:B,2,0)</f>
        <v>10</v>
      </c>
      <c r="J196" s="7">
        <v>0</v>
      </c>
      <c r="K196" s="7">
        <v>7.02</v>
      </c>
      <c r="L196" s="7">
        <v>13.56</v>
      </c>
      <c r="M196" s="7" t="s">
        <v>16</v>
      </c>
      <c r="N196" s="7">
        <f>VLOOKUP(M196,Sheet4!A:B,2,0)</f>
        <v>10</v>
      </c>
      <c r="O196" s="7">
        <v>0</v>
      </c>
      <c r="P196" s="7">
        <v>1.9</v>
      </c>
    </row>
    <row r="197" ht="15.3" spans="1:16">
      <c r="A197" s="12">
        <v>10.17</v>
      </c>
      <c r="B197" s="18">
        <v>8</v>
      </c>
      <c r="C197" s="14">
        <v>0</v>
      </c>
      <c r="D197" s="15">
        <v>855</v>
      </c>
      <c r="E197" s="14">
        <v>1057</v>
      </c>
      <c r="F197" s="19">
        <f t="shared" si="3"/>
        <v>1912</v>
      </c>
      <c r="G197" s="7">
        <v>14.75</v>
      </c>
      <c r="H197" s="7" t="s">
        <v>16</v>
      </c>
      <c r="I197" s="7">
        <f>VLOOKUP(H197,Sheet4!A:B,2,0)</f>
        <v>10</v>
      </c>
      <c r="J197" s="7">
        <v>0</v>
      </c>
      <c r="K197" s="7">
        <v>6.28</v>
      </c>
      <c r="L197" s="7">
        <v>13.76</v>
      </c>
      <c r="M197" s="7" t="s">
        <v>17</v>
      </c>
      <c r="N197" s="7">
        <f>VLOOKUP(M197,Sheet4!A:B,2,0)</f>
        <v>5</v>
      </c>
      <c r="O197" s="7">
        <v>0.5</v>
      </c>
      <c r="P197" s="7">
        <v>2.09</v>
      </c>
    </row>
    <row r="198" ht="15.3" spans="1:16">
      <c r="A198" s="12">
        <v>10.17</v>
      </c>
      <c r="B198" s="18">
        <v>10</v>
      </c>
      <c r="C198" s="14">
        <v>0</v>
      </c>
      <c r="D198" s="15">
        <v>1106</v>
      </c>
      <c r="E198" s="14">
        <v>1303</v>
      </c>
      <c r="F198" s="19">
        <f t="shared" si="3"/>
        <v>2409</v>
      </c>
      <c r="G198" s="7">
        <v>13.85</v>
      </c>
      <c r="H198" s="7" t="s">
        <v>17</v>
      </c>
      <c r="I198" s="7">
        <f>VLOOKUP(H198,Sheet4!A:B,2,0)</f>
        <v>5</v>
      </c>
      <c r="J198" s="7">
        <v>0.5</v>
      </c>
      <c r="K198" s="7">
        <v>6.59</v>
      </c>
      <c r="L198" s="7">
        <v>14.81</v>
      </c>
      <c r="M198" s="7" t="s">
        <v>16</v>
      </c>
      <c r="N198" s="7">
        <f>VLOOKUP(M198,Sheet4!A:B,2,0)</f>
        <v>10</v>
      </c>
      <c r="O198" s="7">
        <v>0.2</v>
      </c>
      <c r="P198" s="7">
        <v>1.95</v>
      </c>
    </row>
    <row r="199" ht="15.3" spans="1:16">
      <c r="A199" s="12">
        <v>10.17</v>
      </c>
      <c r="B199" s="18">
        <v>12</v>
      </c>
      <c r="C199" s="14">
        <v>0</v>
      </c>
      <c r="D199" s="15">
        <v>1369</v>
      </c>
      <c r="E199" s="14">
        <v>1499</v>
      </c>
      <c r="F199" s="19">
        <f t="shared" si="3"/>
        <v>2868</v>
      </c>
      <c r="G199" s="7">
        <v>13.3</v>
      </c>
      <c r="H199" s="7" t="s">
        <v>17</v>
      </c>
      <c r="I199" s="7">
        <f>VLOOKUP(H199,Sheet4!A:B,2,0)</f>
        <v>5</v>
      </c>
      <c r="J199" s="7">
        <v>0.4</v>
      </c>
      <c r="K199" s="7">
        <v>5.07</v>
      </c>
      <c r="L199" s="7">
        <v>15.51</v>
      </c>
      <c r="M199" s="7" t="s">
        <v>17</v>
      </c>
      <c r="N199" s="7">
        <f>VLOOKUP(M199,Sheet4!A:B,2,0)</f>
        <v>5</v>
      </c>
      <c r="O199" s="7">
        <v>0.6</v>
      </c>
      <c r="P199" s="7">
        <v>1.96</v>
      </c>
    </row>
    <row r="200" ht="15.3" spans="1:16">
      <c r="A200" s="12">
        <v>10.17</v>
      </c>
      <c r="B200" s="18">
        <v>14</v>
      </c>
      <c r="C200" s="14">
        <v>0</v>
      </c>
      <c r="D200" s="15">
        <v>1233</v>
      </c>
      <c r="E200" s="14">
        <v>1480</v>
      </c>
      <c r="F200" s="19">
        <f t="shared" si="3"/>
        <v>2713</v>
      </c>
      <c r="G200" s="7">
        <v>13.15</v>
      </c>
      <c r="H200" s="7" t="s">
        <v>17</v>
      </c>
      <c r="I200" s="7">
        <f>VLOOKUP(H200,Sheet4!A:B,2,0)</f>
        <v>5</v>
      </c>
      <c r="J200" s="7">
        <v>0.4</v>
      </c>
      <c r="K200" s="7">
        <v>5.39</v>
      </c>
      <c r="L200" s="7">
        <v>15.46</v>
      </c>
      <c r="M200" s="7" t="s">
        <v>17</v>
      </c>
      <c r="N200" s="7">
        <f>VLOOKUP(M200,Sheet4!A:B,2,0)</f>
        <v>5</v>
      </c>
      <c r="O200" s="7">
        <v>1.2</v>
      </c>
      <c r="P200" s="7">
        <v>3.52</v>
      </c>
    </row>
    <row r="201" ht="15.3" spans="1:16">
      <c r="A201" s="12">
        <v>10.17</v>
      </c>
      <c r="B201" s="18">
        <v>16</v>
      </c>
      <c r="C201" s="14">
        <v>0</v>
      </c>
      <c r="D201" s="15">
        <v>1564</v>
      </c>
      <c r="E201" s="14">
        <v>1687</v>
      </c>
      <c r="F201" s="19">
        <f t="shared" si="3"/>
        <v>3251</v>
      </c>
      <c r="G201" s="7">
        <v>14.1</v>
      </c>
      <c r="H201" s="7" t="s">
        <v>17</v>
      </c>
      <c r="I201" s="7">
        <f>VLOOKUP(H201,Sheet4!A:B,2,0)</f>
        <v>5</v>
      </c>
      <c r="J201" s="7">
        <v>0.6</v>
      </c>
      <c r="K201" s="7">
        <v>10.34</v>
      </c>
      <c r="L201" s="7">
        <v>14.06</v>
      </c>
      <c r="M201" s="7" t="s">
        <v>20</v>
      </c>
      <c r="N201" s="7">
        <f>VLOOKUP(M201,Sheet4!A:B,2,0)</f>
        <v>4</v>
      </c>
      <c r="O201" s="7">
        <v>2.2</v>
      </c>
      <c r="P201" s="7">
        <v>5.3</v>
      </c>
    </row>
    <row r="202" ht="15.3" spans="1:16">
      <c r="A202" s="12">
        <v>10.17</v>
      </c>
      <c r="B202" s="18">
        <v>18</v>
      </c>
      <c r="C202" s="14">
        <v>0</v>
      </c>
      <c r="D202" s="15">
        <v>1502</v>
      </c>
      <c r="E202" s="14">
        <v>1573</v>
      </c>
      <c r="F202" s="19">
        <f t="shared" si="3"/>
        <v>3075</v>
      </c>
      <c r="G202" s="7">
        <v>14.45</v>
      </c>
      <c r="H202" s="7" t="s">
        <v>16</v>
      </c>
      <c r="I202" s="7">
        <f>VLOOKUP(H202,Sheet4!A:B,2,0)</f>
        <v>10</v>
      </c>
      <c r="J202" s="7">
        <v>0.3</v>
      </c>
      <c r="K202" s="7">
        <v>11.69</v>
      </c>
      <c r="L202" s="7">
        <v>13.06</v>
      </c>
      <c r="M202" s="7" t="s">
        <v>20</v>
      </c>
      <c r="N202" s="7">
        <f>VLOOKUP(M202,Sheet4!A:B,2,0)</f>
        <v>4</v>
      </c>
      <c r="O202" s="7">
        <v>1.3</v>
      </c>
      <c r="P202" s="7">
        <v>4.86</v>
      </c>
    </row>
    <row r="203" ht="15.3" spans="1:16">
      <c r="A203" s="12">
        <v>10.17</v>
      </c>
      <c r="B203" s="18">
        <v>20</v>
      </c>
      <c r="C203" s="14">
        <v>0</v>
      </c>
      <c r="D203" s="15">
        <v>1291</v>
      </c>
      <c r="E203" s="14">
        <v>1314</v>
      </c>
      <c r="F203" s="19">
        <f t="shared" si="3"/>
        <v>2605</v>
      </c>
      <c r="G203" s="7">
        <v>14.15</v>
      </c>
      <c r="H203" s="7" t="s">
        <v>16</v>
      </c>
      <c r="I203" s="7">
        <f>VLOOKUP(H203,Sheet4!A:B,2,0)</f>
        <v>10</v>
      </c>
      <c r="J203" s="7">
        <v>0</v>
      </c>
      <c r="K203" s="7">
        <v>11.77</v>
      </c>
      <c r="L203" s="7">
        <v>13.11</v>
      </c>
      <c r="M203" s="7" t="s">
        <v>16</v>
      </c>
      <c r="N203" s="7">
        <f>VLOOKUP(M203,Sheet4!A:B,2,0)</f>
        <v>10</v>
      </c>
      <c r="O203" s="7">
        <v>0.3</v>
      </c>
      <c r="P203" s="7">
        <v>4.8</v>
      </c>
    </row>
    <row r="204" ht="15.3" spans="1:16">
      <c r="A204" s="12">
        <v>10.17</v>
      </c>
      <c r="B204" s="18">
        <v>22</v>
      </c>
      <c r="C204" s="14">
        <v>0</v>
      </c>
      <c r="D204" s="15">
        <v>1169</v>
      </c>
      <c r="E204" s="14">
        <v>1065</v>
      </c>
      <c r="F204" s="19">
        <f t="shared" si="3"/>
        <v>2234</v>
      </c>
      <c r="G204" s="7">
        <v>14.05</v>
      </c>
      <c r="H204" s="7" t="s">
        <v>16</v>
      </c>
      <c r="I204" s="7">
        <f>VLOOKUP(H204,Sheet4!A:B,2,0)</f>
        <v>10</v>
      </c>
      <c r="J204" s="7">
        <v>0</v>
      </c>
      <c r="K204" s="7">
        <v>11.69</v>
      </c>
      <c r="L204" s="7">
        <v>13.41</v>
      </c>
      <c r="M204" s="7" t="s">
        <v>18</v>
      </c>
      <c r="N204" s="7">
        <f>VLOOKUP(M204,Sheet4!A:B,2,0)</f>
        <v>6</v>
      </c>
      <c r="O204" s="7">
        <v>0</v>
      </c>
      <c r="P204" s="7">
        <v>4.3</v>
      </c>
    </row>
    <row r="205" ht="15.3" spans="1:16">
      <c r="A205" s="12">
        <v>10.17</v>
      </c>
      <c r="B205" s="20">
        <v>24</v>
      </c>
      <c r="C205" s="14">
        <v>0</v>
      </c>
      <c r="D205" s="15">
        <v>918</v>
      </c>
      <c r="E205" s="14">
        <v>691</v>
      </c>
      <c r="F205" s="19">
        <f t="shared" si="3"/>
        <v>1609</v>
      </c>
      <c r="G205" s="7">
        <v>12</v>
      </c>
      <c r="H205" s="7" t="s">
        <v>16</v>
      </c>
      <c r="I205" s="7">
        <f>VLOOKUP(H205,Sheet4!A:B,2,0)</f>
        <v>10</v>
      </c>
      <c r="J205" s="7">
        <v>0</v>
      </c>
      <c r="K205" s="7">
        <v>13.74</v>
      </c>
      <c r="L205" s="7">
        <v>13.51</v>
      </c>
      <c r="M205" s="7" t="s">
        <v>18</v>
      </c>
      <c r="N205" s="7">
        <f>VLOOKUP(M205,Sheet4!A:B,2,0)</f>
        <v>6</v>
      </c>
      <c r="O205" s="7">
        <v>0</v>
      </c>
      <c r="P205" s="7">
        <v>4.65</v>
      </c>
    </row>
    <row r="206" ht="15.3" spans="1:16">
      <c r="A206" s="12">
        <v>10.18</v>
      </c>
      <c r="B206" s="18">
        <v>2</v>
      </c>
      <c r="C206" s="14">
        <v>0</v>
      </c>
      <c r="D206" s="15">
        <v>709</v>
      </c>
      <c r="E206" s="14">
        <v>413</v>
      </c>
      <c r="F206" s="19">
        <f t="shared" si="3"/>
        <v>1122</v>
      </c>
      <c r="G206" s="7">
        <v>10.4</v>
      </c>
      <c r="H206" s="7" t="s">
        <v>16</v>
      </c>
      <c r="I206" s="7">
        <f>VLOOKUP(H206,Sheet4!A:B,2,0)</f>
        <v>10</v>
      </c>
      <c r="J206" s="7">
        <v>0</v>
      </c>
      <c r="K206" s="7">
        <v>13.25</v>
      </c>
      <c r="L206" s="7">
        <v>12.81</v>
      </c>
      <c r="M206" s="7" t="s">
        <v>18</v>
      </c>
      <c r="N206" s="7">
        <f>VLOOKUP(M206,Sheet4!A:B,2,0)</f>
        <v>6</v>
      </c>
      <c r="O206" s="7">
        <v>0</v>
      </c>
      <c r="P206" s="7">
        <v>5.55</v>
      </c>
    </row>
    <row r="207" ht="15.3" spans="1:16">
      <c r="A207" s="12">
        <v>10.18</v>
      </c>
      <c r="B207" s="18">
        <v>4</v>
      </c>
      <c r="C207" s="14">
        <v>0</v>
      </c>
      <c r="D207" s="15">
        <v>494</v>
      </c>
      <c r="E207" s="14">
        <v>271</v>
      </c>
      <c r="F207" s="19">
        <f t="shared" si="3"/>
        <v>765</v>
      </c>
      <c r="G207" s="7">
        <v>9.7</v>
      </c>
      <c r="H207" s="7" t="s">
        <v>16</v>
      </c>
      <c r="I207" s="7">
        <f>VLOOKUP(H207,Sheet4!A:B,2,0)</f>
        <v>10</v>
      </c>
      <c r="J207" s="7">
        <v>0</v>
      </c>
      <c r="K207" s="7">
        <v>12.93</v>
      </c>
      <c r="L207" s="7">
        <v>11.66</v>
      </c>
      <c r="M207" s="7" t="s">
        <v>19</v>
      </c>
      <c r="N207" s="7">
        <f>VLOOKUP(M207,Sheet4!A:B,2,0)</f>
        <v>8</v>
      </c>
      <c r="O207" s="7">
        <v>0</v>
      </c>
      <c r="P207" s="7">
        <v>5.73</v>
      </c>
    </row>
    <row r="208" ht="15.3" spans="1:16">
      <c r="A208" s="12">
        <v>10.18</v>
      </c>
      <c r="B208" s="18">
        <v>6</v>
      </c>
      <c r="C208" s="14">
        <v>0</v>
      </c>
      <c r="D208" s="15">
        <v>609</v>
      </c>
      <c r="E208" s="14">
        <v>411</v>
      </c>
      <c r="F208" s="19">
        <f t="shared" si="3"/>
        <v>1020</v>
      </c>
      <c r="G208" s="7">
        <v>8.85</v>
      </c>
      <c r="H208" s="7" t="s">
        <v>16</v>
      </c>
      <c r="I208" s="7">
        <f>VLOOKUP(H208,Sheet4!A:B,2,0)</f>
        <v>10</v>
      </c>
      <c r="J208" s="7">
        <v>0</v>
      </c>
      <c r="K208" s="7">
        <v>12.84</v>
      </c>
      <c r="L208" s="7">
        <v>10.01</v>
      </c>
      <c r="M208" s="7" t="s">
        <v>16</v>
      </c>
      <c r="N208" s="7">
        <f>VLOOKUP(M208,Sheet4!A:B,2,0)</f>
        <v>10</v>
      </c>
      <c r="O208" s="7">
        <v>0</v>
      </c>
      <c r="P208" s="7">
        <v>4.74</v>
      </c>
    </row>
    <row r="209" ht="15.3" spans="1:16">
      <c r="A209" s="12">
        <v>10.18</v>
      </c>
      <c r="B209" s="18">
        <v>8</v>
      </c>
      <c r="C209" s="14">
        <v>0</v>
      </c>
      <c r="D209" s="15">
        <v>1058</v>
      </c>
      <c r="E209" s="14">
        <v>990</v>
      </c>
      <c r="F209" s="19">
        <f t="shared" si="3"/>
        <v>2048</v>
      </c>
      <c r="G209" s="7">
        <v>8.15</v>
      </c>
      <c r="H209" s="7" t="s">
        <v>16</v>
      </c>
      <c r="I209" s="7">
        <f>VLOOKUP(H209,Sheet4!A:B,2,0)</f>
        <v>10</v>
      </c>
      <c r="J209" s="7">
        <v>0</v>
      </c>
      <c r="K209" s="7">
        <v>12.32</v>
      </c>
      <c r="L209" s="7">
        <v>9.56</v>
      </c>
      <c r="M209" s="7" t="s">
        <v>16</v>
      </c>
      <c r="N209" s="7">
        <f>VLOOKUP(M209,Sheet4!A:B,2,0)</f>
        <v>10</v>
      </c>
      <c r="O209" s="7">
        <v>0</v>
      </c>
      <c r="P209" s="7">
        <v>4.23</v>
      </c>
    </row>
    <row r="210" ht="15.3" spans="1:16">
      <c r="A210" s="12">
        <v>10.18</v>
      </c>
      <c r="B210" s="18">
        <v>10</v>
      </c>
      <c r="C210" s="14">
        <v>0</v>
      </c>
      <c r="D210" s="15">
        <v>1306</v>
      </c>
      <c r="E210" s="14">
        <v>1308</v>
      </c>
      <c r="F210" s="19">
        <f t="shared" si="3"/>
        <v>2614</v>
      </c>
      <c r="G210" s="7">
        <v>7.8</v>
      </c>
      <c r="H210" s="7" t="s">
        <v>16</v>
      </c>
      <c r="I210" s="7">
        <f>VLOOKUP(H210,Sheet4!A:B,2,0)</f>
        <v>10</v>
      </c>
      <c r="J210" s="7">
        <v>0</v>
      </c>
      <c r="K210" s="7">
        <v>10.13</v>
      </c>
      <c r="L210" s="7">
        <v>10.61</v>
      </c>
      <c r="M210" s="7" t="s">
        <v>18</v>
      </c>
      <c r="N210" s="7">
        <f>VLOOKUP(M210,Sheet4!A:B,2,0)</f>
        <v>6</v>
      </c>
      <c r="O210" s="7">
        <v>0</v>
      </c>
      <c r="P210" s="7">
        <v>5.3</v>
      </c>
    </row>
    <row r="211" ht="15.3" spans="1:16">
      <c r="A211" s="12">
        <v>10.18</v>
      </c>
      <c r="B211" s="18">
        <v>12</v>
      </c>
      <c r="C211" s="14">
        <v>0</v>
      </c>
      <c r="D211" s="15">
        <v>1537</v>
      </c>
      <c r="E211" s="14">
        <v>1427</v>
      </c>
      <c r="F211" s="19">
        <f t="shared" si="3"/>
        <v>2964</v>
      </c>
      <c r="G211" s="7">
        <v>8.65</v>
      </c>
      <c r="H211" s="7" t="s">
        <v>16</v>
      </c>
      <c r="I211" s="7">
        <f>VLOOKUP(H211,Sheet4!A:B,2,0)</f>
        <v>10</v>
      </c>
      <c r="J211" s="7">
        <v>0</v>
      </c>
      <c r="K211" s="7">
        <v>9.86</v>
      </c>
      <c r="L211" s="7">
        <v>11.71</v>
      </c>
      <c r="M211" s="7" t="s">
        <v>19</v>
      </c>
      <c r="N211" s="7">
        <f>VLOOKUP(M211,Sheet4!A:B,2,0)</f>
        <v>8</v>
      </c>
      <c r="O211" s="7">
        <v>0</v>
      </c>
      <c r="P211" s="7">
        <v>5.24</v>
      </c>
    </row>
    <row r="212" ht="15.3" spans="1:16">
      <c r="A212" s="12">
        <v>10.18</v>
      </c>
      <c r="B212" s="18">
        <v>14</v>
      </c>
      <c r="C212" s="14">
        <v>0</v>
      </c>
      <c r="D212" s="15">
        <v>1243</v>
      </c>
      <c r="E212" s="14">
        <v>1483</v>
      </c>
      <c r="F212" s="19">
        <f t="shared" si="3"/>
        <v>2726</v>
      </c>
      <c r="G212" s="7">
        <v>9.1</v>
      </c>
      <c r="H212" s="7" t="s">
        <v>16</v>
      </c>
      <c r="I212" s="7">
        <f>VLOOKUP(H212,Sheet4!A:B,2,0)</f>
        <v>10</v>
      </c>
      <c r="J212" s="7">
        <v>0</v>
      </c>
      <c r="K212" s="7">
        <v>8.44</v>
      </c>
      <c r="L212" s="7">
        <v>12.36</v>
      </c>
      <c r="M212" s="7" t="s">
        <v>19</v>
      </c>
      <c r="N212" s="7">
        <f>VLOOKUP(M212,Sheet4!A:B,2,0)</f>
        <v>8</v>
      </c>
      <c r="O212" s="7">
        <v>0</v>
      </c>
      <c r="P212" s="7">
        <v>4.41</v>
      </c>
    </row>
    <row r="213" ht="15.3" spans="1:16">
      <c r="A213" s="12">
        <v>10.18</v>
      </c>
      <c r="B213" s="18">
        <v>16</v>
      </c>
      <c r="C213" s="14">
        <v>0</v>
      </c>
      <c r="D213" s="15">
        <v>1424</v>
      </c>
      <c r="E213" s="14">
        <v>1531</v>
      </c>
      <c r="F213" s="19">
        <f t="shared" si="3"/>
        <v>2955</v>
      </c>
      <c r="G213" s="7">
        <v>9.8</v>
      </c>
      <c r="H213" s="7" t="s">
        <v>16</v>
      </c>
      <c r="I213" s="7">
        <f>VLOOKUP(H213,Sheet4!A:B,2,0)</f>
        <v>10</v>
      </c>
      <c r="J213" s="7">
        <v>0</v>
      </c>
      <c r="K213" s="7">
        <v>6.93</v>
      </c>
      <c r="L213" s="7">
        <v>12.01</v>
      </c>
      <c r="M213" s="7" t="s">
        <v>16</v>
      </c>
      <c r="N213" s="7">
        <f>VLOOKUP(M213,Sheet4!A:B,2,0)</f>
        <v>10</v>
      </c>
      <c r="O213" s="7">
        <v>0</v>
      </c>
      <c r="P213" s="7">
        <v>4</v>
      </c>
    </row>
    <row r="214" ht="15.3" spans="1:16">
      <c r="A214" s="12">
        <v>10.18</v>
      </c>
      <c r="B214" s="18">
        <v>18</v>
      </c>
      <c r="C214" s="14">
        <v>0</v>
      </c>
      <c r="D214" s="15">
        <v>1399</v>
      </c>
      <c r="E214" s="14">
        <v>1611</v>
      </c>
      <c r="F214" s="19">
        <f t="shared" si="3"/>
        <v>3010</v>
      </c>
      <c r="G214" s="7">
        <v>10.4</v>
      </c>
      <c r="H214" s="7" t="s">
        <v>16</v>
      </c>
      <c r="I214" s="7">
        <f>VLOOKUP(H214,Sheet4!A:B,2,0)</f>
        <v>10</v>
      </c>
      <c r="J214" s="7">
        <v>0</v>
      </c>
      <c r="K214" s="7">
        <v>5.82</v>
      </c>
      <c r="L214" s="7">
        <v>10.51</v>
      </c>
      <c r="M214" s="7" t="s">
        <v>16</v>
      </c>
      <c r="N214" s="7">
        <f>VLOOKUP(M214,Sheet4!A:B,2,0)</f>
        <v>10</v>
      </c>
      <c r="O214" s="7">
        <v>0</v>
      </c>
      <c r="P214" s="7">
        <v>2.38</v>
      </c>
    </row>
    <row r="215" ht="15.3" spans="1:16">
      <c r="A215" s="12">
        <v>10.18</v>
      </c>
      <c r="B215" s="18">
        <v>20</v>
      </c>
      <c r="C215" s="14">
        <v>0</v>
      </c>
      <c r="D215" s="15">
        <v>1191</v>
      </c>
      <c r="E215" s="14">
        <v>1421</v>
      </c>
      <c r="F215" s="19">
        <f t="shared" si="3"/>
        <v>2612</v>
      </c>
      <c r="G215" s="7">
        <v>10.65</v>
      </c>
      <c r="H215" s="7" t="s">
        <v>16</v>
      </c>
      <c r="I215" s="7">
        <f>VLOOKUP(H215,Sheet4!A:B,2,0)</f>
        <v>10</v>
      </c>
      <c r="J215" s="7">
        <v>0</v>
      </c>
      <c r="K215" s="7">
        <v>4.52</v>
      </c>
      <c r="L215" s="7">
        <v>8.76</v>
      </c>
      <c r="M215" s="7" t="s">
        <v>16</v>
      </c>
      <c r="N215" s="7">
        <f>VLOOKUP(M215,Sheet4!A:B,2,0)</f>
        <v>10</v>
      </c>
      <c r="O215" s="7">
        <v>0</v>
      </c>
      <c r="P215" s="7">
        <v>1.72</v>
      </c>
    </row>
    <row r="216" ht="15.3" spans="1:16">
      <c r="A216" s="12">
        <v>10.18</v>
      </c>
      <c r="B216" s="18">
        <v>22</v>
      </c>
      <c r="C216" s="14">
        <v>0</v>
      </c>
      <c r="D216" s="15">
        <v>999</v>
      </c>
      <c r="E216" s="14">
        <v>1072</v>
      </c>
      <c r="F216" s="19">
        <f t="shared" si="3"/>
        <v>2071</v>
      </c>
      <c r="G216" s="7">
        <v>10.6</v>
      </c>
      <c r="H216" s="7" t="s">
        <v>16</v>
      </c>
      <c r="I216" s="7">
        <f>VLOOKUP(H216,Sheet4!A:B,2,0)</f>
        <v>10</v>
      </c>
      <c r="J216" s="7">
        <v>0</v>
      </c>
      <c r="K216" s="7">
        <v>4.16</v>
      </c>
      <c r="L216" s="7">
        <v>7.96</v>
      </c>
      <c r="M216" s="7" t="s">
        <v>16</v>
      </c>
      <c r="N216" s="7">
        <f>VLOOKUP(M216,Sheet4!A:B,2,0)</f>
        <v>10</v>
      </c>
      <c r="O216" s="7">
        <v>0</v>
      </c>
      <c r="P216" s="7">
        <v>1.38</v>
      </c>
    </row>
    <row r="217" ht="15.3" spans="1:16">
      <c r="A217" s="12">
        <v>10.18</v>
      </c>
      <c r="B217" s="20">
        <v>24</v>
      </c>
      <c r="C217" s="14">
        <v>0</v>
      </c>
      <c r="D217" s="15">
        <v>1109</v>
      </c>
      <c r="E217" s="14">
        <v>786</v>
      </c>
      <c r="F217" s="19">
        <f t="shared" si="3"/>
        <v>1895</v>
      </c>
      <c r="G217" s="7">
        <v>10.65</v>
      </c>
      <c r="H217" s="7" t="s">
        <v>16</v>
      </c>
      <c r="I217" s="7">
        <f>VLOOKUP(H217,Sheet4!A:B,2,0)</f>
        <v>10</v>
      </c>
      <c r="J217" s="7">
        <v>0</v>
      </c>
      <c r="K217" s="7">
        <v>4.67</v>
      </c>
      <c r="L217" s="7">
        <v>7.71</v>
      </c>
      <c r="M217" s="7" t="s">
        <v>16</v>
      </c>
      <c r="N217" s="7">
        <f>VLOOKUP(M217,Sheet4!A:B,2,0)</f>
        <v>10</v>
      </c>
      <c r="O217" s="7">
        <v>0</v>
      </c>
      <c r="P217" s="7">
        <v>1.25</v>
      </c>
    </row>
    <row r="218" ht="15.3" spans="1:16">
      <c r="A218" s="12">
        <v>10.19</v>
      </c>
      <c r="B218" s="18">
        <v>2</v>
      </c>
      <c r="C218" s="14">
        <v>0</v>
      </c>
      <c r="D218" s="15">
        <v>604</v>
      </c>
      <c r="E218" s="14">
        <v>380</v>
      </c>
      <c r="F218" s="19">
        <f t="shared" si="3"/>
        <v>984</v>
      </c>
      <c r="G218" s="7">
        <v>10.6</v>
      </c>
      <c r="H218" s="7" t="s">
        <v>16</v>
      </c>
      <c r="I218" s="7">
        <f>VLOOKUP(H218,Sheet4!A:B,2,0)</f>
        <v>10</v>
      </c>
      <c r="J218" s="7">
        <v>0</v>
      </c>
      <c r="K218" s="7">
        <v>4.83</v>
      </c>
      <c r="L218" s="7">
        <v>7.91</v>
      </c>
      <c r="M218" s="7" t="s">
        <v>16</v>
      </c>
      <c r="N218" s="7">
        <f>VLOOKUP(M218,Sheet4!A:B,2,0)</f>
        <v>10</v>
      </c>
      <c r="O218" s="7">
        <v>0</v>
      </c>
      <c r="P218" s="7">
        <v>1.21</v>
      </c>
    </row>
    <row r="219" ht="15.3" spans="1:16">
      <c r="A219" s="12">
        <v>10.19</v>
      </c>
      <c r="B219" s="18">
        <v>4</v>
      </c>
      <c r="C219" s="14">
        <v>0</v>
      </c>
      <c r="D219" s="15">
        <v>485</v>
      </c>
      <c r="E219" s="14">
        <v>308</v>
      </c>
      <c r="F219" s="19">
        <f t="shared" si="3"/>
        <v>793</v>
      </c>
      <c r="G219" s="7">
        <v>10.4</v>
      </c>
      <c r="H219" s="7" t="s">
        <v>16</v>
      </c>
      <c r="I219" s="7">
        <f>VLOOKUP(H219,Sheet4!A:B,2,0)</f>
        <v>10</v>
      </c>
      <c r="J219" s="7">
        <v>0</v>
      </c>
      <c r="K219" s="7">
        <v>6.25</v>
      </c>
      <c r="L219" s="7">
        <v>8.01</v>
      </c>
      <c r="M219" s="7" t="s">
        <v>16</v>
      </c>
      <c r="N219" s="7">
        <f>VLOOKUP(M219,Sheet4!A:B,2,0)</f>
        <v>10</v>
      </c>
      <c r="O219" s="7">
        <v>0</v>
      </c>
      <c r="P219" s="7">
        <v>2.33</v>
      </c>
    </row>
    <row r="220" ht="15.3" spans="1:16">
      <c r="A220" s="12">
        <v>10.19</v>
      </c>
      <c r="B220" s="18">
        <v>6</v>
      </c>
      <c r="C220" s="14">
        <v>0</v>
      </c>
      <c r="D220" s="15">
        <v>603</v>
      </c>
      <c r="E220" s="14">
        <v>510</v>
      </c>
      <c r="F220" s="19">
        <f t="shared" si="3"/>
        <v>1113</v>
      </c>
      <c r="G220" s="7">
        <v>10.45</v>
      </c>
      <c r="H220" s="7" t="s">
        <v>16</v>
      </c>
      <c r="I220" s="7">
        <f>VLOOKUP(H220,Sheet4!A:B,2,0)</f>
        <v>10</v>
      </c>
      <c r="J220" s="7">
        <v>0</v>
      </c>
      <c r="K220" s="7">
        <v>6.17</v>
      </c>
      <c r="L220" s="7">
        <v>8.61</v>
      </c>
      <c r="M220" s="7" t="s">
        <v>16</v>
      </c>
      <c r="N220" s="7">
        <f>VLOOKUP(M220,Sheet4!A:B,2,0)</f>
        <v>10</v>
      </c>
      <c r="O220" s="7">
        <v>0</v>
      </c>
      <c r="P220" s="7">
        <v>2.35</v>
      </c>
    </row>
    <row r="221" ht="15.3" spans="1:16">
      <c r="A221" s="12">
        <v>10.19</v>
      </c>
      <c r="B221" s="18">
        <v>8</v>
      </c>
      <c r="C221" s="14">
        <v>0</v>
      </c>
      <c r="D221" s="15">
        <v>1105</v>
      </c>
      <c r="E221" s="14">
        <v>1088</v>
      </c>
      <c r="F221" s="19">
        <f t="shared" si="3"/>
        <v>2193</v>
      </c>
      <c r="G221" s="7">
        <v>10.35</v>
      </c>
      <c r="H221" s="7" t="s">
        <v>16</v>
      </c>
      <c r="I221" s="7">
        <f>VLOOKUP(H221,Sheet4!A:B,2,0)</f>
        <v>10</v>
      </c>
      <c r="J221" s="7">
        <v>0</v>
      </c>
      <c r="K221" s="7">
        <v>7.84</v>
      </c>
      <c r="L221" s="7">
        <v>9.56</v>
      </c>
      <c r="M221" s="7" t="s">
        <v>16</v>
      </c>
      <c r="N221" s="7">
        <f>VLOOKUP(M221,Sheet4!A:B,2,0)</f>
        <v>10</v>
      </c>
      <c r="O221" s="7">
        <v>0</v>
      </c>
      <c r="P221" s="7">
        <v>2.56</v>
      </c>
    </row>
    <row r="222" ht="15.3" spans="1:16">
      <c r="A222" s="12">
        <v>10.19</v>
      </c>
      <c r="B222" s="18">
        <v>10</v>
      </c>
      <c r="C222" s="14">
        <v>0</v>
      </c>
      <c r="D222" s="15">
        <v>1288</v>
      </c>
      <c r="E222" s="14">
        <v>1303</v>
      </c>
      <c r="F222" s="19">
        <f t="shared" si="3"/>
        <v>2591</v>
      </c>
      <c r="G222" s="7">
        <v>10.05</v>
      </c>
      <c r="H222" s="7" t="s">
        <v>16</v>
      </c>
      <c r="I222" s="7">
        <f>VLOOKUP(H222,Sheet4!A:B,2,0)</f>
        <v>10</v>
      </c>
      <c r="J222" s="7">
        <v>0</v>
      </c>
      <c r="K222" s="7">
        <v>7.74</v>
      </c>
      <c r="L222" s="7">
        <v>10.16</v>
      </c>
      <c r="M222" s="7" t="s">
        <v>16</v>
      </c>
      <c r="N222" s="7">
        <f>VLOOKUP(M222,Sheet4!A:B,2,0)</f>
        <v>10</v>
      </c>
      <c r="O222" s="7">
        <v>0</v>
      </c>
      <c r="P222" s="7">
        <v>3.15</v>
      </c>
    </row>
    <row r="223" ht="15.3" spans="1:16">
      <c r="A223" s="12">
        <v>10.19</v>
      </c>
      <c r="B223" s="18">
        <v>12</v>
      </c>
      <c r="C223" s="14">
        <v>0</v>
      </c>
      <c r="D223" s="15">
        <v>1275</v>
      </c>
      <c r="E223" s="14">
        <v>1564</v>
      </c>
      <c r="F223" s="19">
        <f t="shared" si="3"/>
        <v>2839</v>
      </c>
      <c r="G223" s="7">
        <v>10.4</v>
      </c>
      <c r="H223" s="7" t="s">
        <v>16</v>
      </c>
      <c r="I223" s="7">
        <f>VLOOKUP(H223,Sheet4!A:B,2,0)</f>
        <v>10</v>
      </c>
      <c r="J223" s="7">
        <v>0</v>
      </c>
      <c r="K223" s="7">
        <v>6.36</v>
      </c>
      <c r="L223" s="7">
        <v>11.51</v>
      </c>
      <c r="M223" s="7" t="s">
        <v>18</v>
      </c>
      <c r="N223" s="7">
        <f>VLOOKUP(M223,Sheet4!A:B,2,0)</f>
        <v>6</v>
      </c>
      <c r="O223" s="7">
        <v>0</v>
      </c>
      <c r="P223" s="7">
        <v>4.94</v>
      </c>
    </row>
    <row r="224" ht="15.3" spans="1:16">
      <c r="A224" s="12">
        <v>10.19</v>
      </c>
      <c r="B224" s="18">
        <v>14</v>
      </c>
      <c r="C224" s="14">
        <v>0</v>
      </c>
      <c r="D224" s="15">
        <v>1188</v>
      </c>
      <c r="E224" s="14">
        <v>1535</v>
      </c>
      <c r="F224" s="19">
        <f t="shared" si="3"/>
        <v>2723</v>
      </c>
      <c r="G224" s="7">
        <v>10</v>
      </c>
      <c r="H224" s="7" t="s">
        <v>16</v>
      </c>
      <c r="I224" s="7">
        <f>VLOOKUP(H224,Sheet4!A:B,2,0)</f>
        <v>10</v>
      </c>
      <c r="J224" s="7">
        <v>0</v>
      </c>
      <c r="K224" s="7">
        <v>5.81</v>
      </c>
      <c r="L224" s="7">
        <v>12.36</v>
      </c>
      <c r="M224" s="7" t="s">
        <v>18</v>
      </c>
      <c r="N224" s="7">
        <f>VLOOKUP(M224,Sheet4!A:B,2,0)</f>
        <v>6</v>
      </c>
      <c r="O224" s="7">
        <v>0</v>
      </c>
      <c r="P224" s="7">
        <v>5.25</v>
      </c>
    </row>
    <row r="225" ht="15.3" spans="1:16">
      <c r="A225" s="12">
        <v>10.19</v>
      </c>
      <c r="B225" s="18">
        <v>16</v>
      </c>
      <c r="C225" s="14">
        <v>0</v>
      </c>
      <c r="D225" s="15">
        <v>1270</v>
      </c>
      <c r="E225" s="14">
        <v>2067</v>
      </c>
      <c r="F225" s="19">
        <f t="shared" si="3"/>
        <v>3337</v>
      </c>
      <c r="G225" s="7">
        <v>10.6</v>
      </c>
      <c r="H225" s="7" t="s">
        <v>16</v>
      </c>
      <c r="I225" s="7">
        <f>VLOOKUP(H225,Sheet4!A:B,2,0)</f>
        <v>10</v>
      </c>
      <c r="J225" s="7">
        <v>0</v>
      </c>
      <c r="K225" s="7">
        <v>3.81</v>
      </c>
      <c r="L225" s="7">
        <v>11.71</v>
      </c>
      <c r="M225" s="7" t="s">
        <v>18</v>
      </c>
      <c r="N225" s="7">
        <f>VLOOKUP(M225,Sheet4!A:B,2,0)</f>
        <v>6</v>
      </c>
      <c r="O225" s="7">
        <v>0</v>
      </c>
      <c r="P225" s="7">
        <v>4.56</v>
      </c>
    </row>
    <row r="226" ht="15.3" spans="1:16">
      <c r="A226" s="12">
        <v>10.19</v>
      </c>
      <c r="B226" s="18">
        <v>18</v>
      </c>
      <c r="C226" s="14">
        <v>0</v>
      </c>
      <c r="D226" s="15">
        <v>1283</v>
      </c>
      <c r="E226" s="14">
        <v>1884</v>
      </c>
      <c r="F226" s="19">
        <f t="shared" si="3"/>
        <v>3167</v>
      </c>
      <c r="G226" s="7">
        <v>11.1</v>
      </c>
      <c r="H226" s="7" t="s">
        <v>16</v>
      </c>
      <c r="I226" s="7">
        <f>VLOOKUP(H226,Sheet4!A:B,2,0)</f>
        <v>10</v>
      </c>
      <c r="J226" s="7">
        <v>0</v>
      </c>
      <c r="K226" s="7">
        <v>4.05</v>
      </c>
      <c r="L226" s="7">
        <v>9.96</v>
      </c>
      <c r="M226" s="7" t="s">
        <v>16</v>
      </c>
      <c r="N226" s="7">
        <f>VLOOKUP(M226,Sheet4!A:B,2,0)</f>
        <v>10</v>
      </c>
      <c r="O226" s="7">
        <v>0</v>
      </c>
      <c r="P226" s="7">
        <v>3.31</v>
      </c>
    </row>
    <row r="227" ht="15.3" spans="1:16">
      <c r="A227" s="12">
        <v>10.19</v>
      </c>
      <c r="B227" s="18">
        <v>20</v>
      </c>
      <c r="C227" s="14">
        <v>0</v>
      </c>
      <c r="D227" s="15">
        <v>1185</v>
      </c>
      <c r="E227" s="14">
        <v>1457</v>
      </c>
      <c r="F227" s="19">
        <f t="shared" si="3"/>
        <v>2642</v>
      </c>
      <c r="G227" s="7">
        <v>11.1</v>
      </c>
      <c r="H227" s="7" t="s">
        <v>16</v>
      </c>
      <c r="I227" s="7">
        <f>VLOOKUP(H227,Sheet4!A:B,2,0)</f>
        <v>10</v>
      </c>
      <c r="J227" s="7">
        <v>0</v>
      </c>
      <c r="K227" s="7">
        <v>5.25</v>
      </c>
      <c r="L227" s="7">
        <v>7.51</v>
      </c>
      <c r="M227" s="7" t="s">
        <v>16</v>
      </c>
      <c r="N227" s="7">
        <f>VLOOKUP(M227,Sheet4!A:B,2,0)</f>
        <v>10</v>
      </c>
      <c r="O227" s="7">
        <v>0</v>
      </c>
      <c r="P227" s="7">
        <v>2.89</v>
      </c>
    </row>
    <row r="228" ht="15.3" spans="1:16">
      <c r="A228" s="12">
        <v>10.19</v>
      </c>
      <c r="B228" s="18">
        <v>22</v>
      </c>
      <c r="C228" s="14">
        <v>0</v>
      </c>
      <c r="D228" s="15">
        <v>1143</v>
      </c>
      <c r="E228" s="14">
        <v>1135</v>
      </c>
      <c r="F228" s="19">
        <f t="shared" si="3"/>
        <v>2278</v>
      </c>
      <c r="G228" s="7">
        <v>10.65</v>
      </c>
      <c r="H228" s="7" t="s">
        <v>16</v>
      </c>
      <c r="I228" s="7">
        <f>VLOOKUP(H228,Sheet4!A:B,2,0)</f>
        <v>10</v>
      </c>
      <c r="J228" s="7">
        <v>0</v>
      </c>
      <c r="K228" s="7">
        <v>6.5</v>
      </c>
      <c r="L228" s="7">
        <v>7.31</v>
      </c>
      <c r="M228" s="7" t="s">
        <v>16</v>
      </c>
      <c r="N228" s="7">
        <f>VLOOKUP(M228,Sheet4!A:B,2,0)</f>
        <v>10</v>
      </c>
      <c r="O228" s="7">
        <v>0</v>
      </c>
      <c r="P228" s="7">
        <v>3.05</v>
      </c>
    </row>
    <row r="229" ht="15.3" spans="1:16">
      <c r="A229" s="12">
        <v>10.19</v>
      </c>
      <c r="B229" s="20">
        <v>24</v>
      </c>
      <c r="C229" s="14">
        <v>0</v>
      </c>
      <c r="D229" s="15">
        <v>925</v>
      </c>
      <c r="E229" s="14">
        <v>692</v>
      </c>
      <c r="F229" s="19">
        <f t="shared" si="3"/>
        <v>1617</v>
      </c>
      <c r="G229" s="7">
        <v>10.3</v>
      </c>
      <c r="H229" s="7" t="s">
        <v>16</v>
      </c>
      <c r="I229" s="7">
        <f>VLOOKUP(H229,Sheet4!A:B,2,0)</f>
        <v>10</v>
      </c>
      <c r="J229" s="7">
        <v>0</v>
      </c>
      <c r="K229" s="7">
        <v>6.12</v>
      </c>
      <c r="L229" s="7">
        <v>6.26</v>
      </c>
      <c r="M229" s="7" t="s">
        <v>19</v>
      </c>
      <c r="N229" s="7">
        <f>VLOOKUP(M229,Sheet4!A:B,2,0)</f>
        <v>8</v>
      </c>
      <c r="O229" s="7">
        <v>0</v>
      </c>
      <c r="P229" s="7">
        <v>2.03</v>
      </c>
    </row>
    <row r="230" ht="15.3" spans="1:16">
      <c r="A230" s="12">
        <v>10.2</v>
      </c>
      <c r="B230" s="18">
        <v>2</v>
      </c>
      <c r="C230" s="14">
        <v>0</v>
      </c>
      <c r="D230" s="15">
        <v>718</v>
      </c>
      <c r="E230" s="14">
        <v>363</v>
      </c>
      <c r="F230" s="19">
        <f t="shared" si="3"/>
        <v>1081</v>
      </c>
      <c r="G230" s="7">
        <v>10.5</v>
      </c>
      <c r="H230" s="7" t="s">
        <v>16</v>
      </c>
      <c r="I230" s="7">
        <f>VLOOKUP(H230,Sheet4!A:B,2,0)</f>
        <v>10</v>
      </c>
      <c r="J230" s="7">
        <v>0</v>
      </c>
      <c r="K230" s="7">
        <v>6.86</v>
      </c>
      <c r="L230" s="7">
        <v>5.71</v>
      </c>
      <c r="M230" s="7" t="s">
        <v>16</v>
      </c>
      <c r="N230" s="7">
        <f>VLOOKUP(M230,Sheet4!A:B,2,0)</f>
        <v>10</v>
      </c>
      <c r="O230" s="7">
        <v>0</v>
      </c>
      <c r="P230" s="7">
        <v>2.33</v>
      </c>
    </row>
    <row r="231" ht="15.3" spans="1:16">
      <c r="A231" s="12">
        <v>10.2</v>
      </c>
      <c r="B231" s="18">
        <v>4</v>
      </c>
      <c r="C231" s="14">
        <v>0</v>
      </c>
      <c r="D231" s="15">
        <v>439</v>
      </c>
      <c r="E231" s="14">
        <v>318</v>
      </c>
      <c r="F231" s="19">
        <f t="shared" si="3"/>
        <v>757</v>
      </c>
      <c r="G231" s="7">
        <v>10.3</v>
      </c>
      <c r="H231" s="7" t="s">
        <v>16</v>
      </c>
      <c r="I231" s="7">
        <f>VLOOKUP(H231,Sheet4!A:B,2,0)</f>
        <v>10</v>
      </c>
      <c r="J231" s="7">
        <v>0</v>
      </c>
      <c r="K231" s="7">
        <v>7.92</v>
      </c>
      <c r="L231" s="7">
        <v>5.01</v>
      </c>
      <c r="M231" s="7" t="s">
        <v>16</v>
      </c>
      <c r="N231" s="7">
        <f>VLOOKUP(M231,Sheet4!A:B,2,0)</f>
        <v>10</v>
      </c>
      <c r="O231" s="7">
        <v>0</v>
      </c>
      <c r="P231" s="7">
        <v>2.36</v>
      </c>
    </row>
    <row r="232" ht="15.3" spans="1:16">
      <c r="A232" s="12">
        <v>10.2</v>
      </c>
      <c r="B232" s="18">
        <v>6</v>
      </c>
      <c r="C232" s="14">
        <v>0</v>
      </c>
      <c r="D232" s="15">
        <v>434</v>
      </c>
      <c r="E232" s="14">
        <v>424</v>
      </c>
      <c r="F232" s="19">
        <f t="shared" si="3"/>
        <v>858</v>
      </c>
      <c r="G232" s="7">
        <v>9.55</v>
      </c>
      <c r="H232" s="7" t="s">
        <v>16</v>
      </c>
      <c r="I232" s="7">
        <f>VLOOKUP(H232,Sheet4!A:B,2,0)</f>
        <v>10</v>
      </c>
      <c r="J232" s="7">
        <v>0</v>
      </c>
      <c r="K232" s="7">
        <v>8.76</v>
      </c>
      <c r="L232" s="7">
        <v>4.81</v>
      </c>
      <c r="M232" s="7" t="s">
        <v>16</v>
      </c>
      <c r="N232" s="7">
        <f>VLOOKUP(M232,Sheet4!A:B,2,0)</f>
        <v>10</v>
      </c>
      <c r="O232" s="7">
        <v>0</v>
      </c>
      <c r="P232" s="7">
        <v>3.33</v>
      </c>
    </row>
    <row r="233" ht="15.3" spans="1:16">
      <c r="A233" s="12">
        <v>10.2</v>
      </c>
      <c r="B233" s="18">
        <v>8</v>
      </c>
      <c r="C233" s="14">
        <v>0</v>
      </c>
      <c r="D233" s="15">
        <v>457</v>
      </c>
      <c r="E233" s="14">
        <v>582</v>
      </c>
      <c r="F233" s="19">
        <f t="shared" si="3"/>
        <v>1039</v>
      </c>
      <c r="G233" s="7">
        <v>8.85</v>
      </c>
      <c r="H233" s="7" t="s">
        <v>16</v>
      </c>
      <c r="I233" s="7">
        <f>VLOOKUP(H233,Sheet4!A:B,2,0)</f>
        <v>10</v>
      </c>
      <c r="J233" s="7">
        <v>0</v>
      </c>
      <c r="K233" s="7">
        <v>8.97</v>
      </c>
      <c r="L233" s="7">
        <v>5.86</v>
      </c>
      <c r="M233" s="7" t="s">
        <v>16</v>
      </c>
      <c r="N233" s="7">
        <f>VLOOKUP(M233,Sheet4!A:B,2,0)</f>
        <v>10</v>
      </c>
      <c r="O233" s="7">
        <v>0</v>
      </c>
      <c r="P233" s="7">
        <v>3.4</v>
      </c>
    </row>
    <row r="234" ht="15.3" spans="1:16">
      <c r="A234" s="12">
        <v>10.2</v>
      </c>
      <c r="B234" s="18">
        <v>10</v>
      </c>
      <c r="C234" s="14">
        <v>0</v>
      </c>
      <c r="D234" s="15">
        <v>167</v>
      </c>
      <c r="E234" s="14">
        <v>375</v>
      </c>
      <c r="F234" s="19">
        <f t="shared" si="3"/>
        <v>542</v>
      </c>
      <c r="G234" s="7">
        <v>8.95</v>
      </c>
      <c r="H234" s="7" t="s">
        <v>16</v>
      </c>
      <c r="I234" s="7">
        <f>VLOOKUP(H234,Sheet4!A:B,2,0)</f>
        <v>10</v>
      </c>
      <c r="J234" s="7">
        <v>0</v>
      </c>
      <c r="K234" s="7">
        <v>7.89</v>
      </c>
      <c r="L234" s="7">
        <v>9.01</v>
      </c>
      <c r="M234" s="7" t="s">
        <v>16</v>
      </c>
      <c r="N234" s="7">
        <f>VLOOKUP(M234,Sheet4!A:B,2,0)</f>
        <v>10</v>
      </c>
      <c r="O234" s="7">
        <v>0</v>
      </c>
      <c r="P234" s="7">
        <v>2.85</v>
      </c>
    </row>
    <row r="235" ht="15.3" spans="1:16">
      <c r="A235" s="12">
        <v>10.2</v>
      </c>
      <c r="B235" s="18">
        <v>12</v>
      </c>
      <c r="C235" s="14">
        <v>0</v>
      </c>
      <c r="D235" s="15">
        <v>145</v>
      </c>
      <c r="E235" s="14">
        <v>574</v>
      </c>
      <c r="F235" s="19">
        <f t="shared" si="3"/>
        <v>719</v>
      </c>
      <c r="G235" s="7">
        <v>8.9</v>
      </c>
      <c r="H235" s="7" t="s">
        <v>16</v>
      </c>
      <c r="I235" s="7">
        <f>VLOOKUP(H235,Sheet4!A:B,2,0)</f>
        <v>10</v>
      </c>
      <c r="J235" s="7">
        <v>0</v>
      </c>
      <c r="K235" s="7">
        <v>6.17</v>
      </c>
      <c r="L235" s="7">
        <v>11.36</v>
      </c>
      <c r="M235" s="7" t="s">
        <v>19</v>
      </c>
      <c r="N235" s="7">
        <f>VLOOKUP(M235,Sheet4!A:B,2,0)</f>
        <v>8</v>
      </c>
      <c r="O235" s="7">
        <v>0</v>
      </c>
      <c r="P235" s="7">
        <v>2.64</v>
      </c>
    </row>
    <row r="236" ht="15.3" spans="1:16">
      <c r="A236" s="12">
        <v>10.2</v>
      </c>
      <c r="B236" s="18">
        <v>14</v>
      </c>
      <c r="C236" s="14">
        <v>0</v>
      </c>
      <c r="D236" s="15">
        <v>140</v>
      </c>
      <c r="E236" s="14">
        <v>926</v>
      </c>
      <c r="F236" s="19">
        <f t="shared" si="3"/>
        <v>1066</v>
      </c>
      <c r="G236" s="7">
        <v>8.85</v>
      </c>
      <c r="H236" s="7" t="s">
        <v>16</v>
      </c>
      <c r="I236" s="7">
        <f>VLOOKUP(H236,Sheet4!A:B,2,0)</f>
        <v>10</v>
      </c>
      <c r="J236" s="7">
        <v>0</v>
      </c>
      <c r="K236" s="7">
        <v>3.89</v>
      </c>
      <c r="L236" s="7">
        <v>11.71</v>
      </c>
      <c r="M236" s="7" t="s">
        <v>18</v>
      </c>
      <c r="N236" s="7">
        <f>VLOOKUP(M236,Sheet4!A:B,2,0)</f>
        <v>6</v>
      </c>
      <c r="O236" s="7">
        <v>0</v>
      </c>
      <c r="P236" s="7">
        <v>3</v>
      </c>
    </row>
    <row r="237" ht="15.3" spans="1:16">
      <c r="A237" s="12">
        <v>10.2</v>
      </c>
      <c r="B237" s="18">
        <v>16</v>
      </c>
      <c r="C237" s="14">
        <v>0</v>
      </c>
      <c r="D237" s="15">
        <v>452</v>
      </c>
      <c r="E237" s="14">
        <v>1207</v>
      </c>
      <c r="F237" s="19">
        <f t="shared" si="3"/>
        <v>1659</v>
      </c>
      <c r="G237" s="7">
        <v>8.95</v>
      </c>
      <c r="H237" s="7" t="s">
        <v>16</v>
      </c>
      <c r="I237" s="7">
        <f>VLOOKUP(H237,Sheet4!A:B,2,0)</f>
        <v>10</v>
      </c>
      <c r="J237" s="7">
        <v>0</v>
      </c>
      <c r="K237" s="7">
        <v>1.35</v>
      </c>
      <c r="L237" s="7">
        <v>11.31</v>
      </c>
      <c r="M237" s="7" t="s">
        <v>18</v>
      </c>
      <c r="N237" s="7">
        <f>VLOOKUP(M237,Sheet4!A:B,2,0)</f>
        <v>6</v>
      </c>
      <c r="O237" s="7">
        <v>0</v>
      </c>
      <c r="P237" s="7">
        <v>2.69</v>
      </c>
    </row>
    <row r="238" ht="15.3" spans="1:16">
      <c r="A238" s="12">
        <v>10.2</v>
      </c>
      <c r="B238" s="18">
        <v>18</v>
      </c>
      <c r="C238" s="14">
        <v>0</v>
      </c>
      <c r="D238" s="15">
        <v>1626</v>
      </c>
      <c r="E238" s="14">
        <v>1317</v>
      </c>
      <c r="F238" s="19">
        <f t="shared" si="3"/>
        <v>2943</v>
      </c>
      <c r="G238" s="7">
        <v>9.25</v>
      </c>
      <c r="H238" s="7" t="s">
        <v>16</v>
      </c>
      <c r="I238" s="7">
        <f>VLOOKUP(H238,Sheet4!A:B,2,0)</f>
        <v>10</v>
      </c>
      <c r="J238" s="7">
        <v>0</v>
      </c>
      <c r="K238" s="7">
        <v>0.61</v>
      </c>
      <c r="L238" s="7">
        <v>10.46</v>
      </c>
      <c r="M238" s="7" t="s">
        <v>16</v>
      </c>
      <c r="N238" s="7">
        <f>VLOOKUP(M238,Sheet4!A:B,2,0)</f>
        <v>10</v>
      </c>
      <c r="O238" s="7">
        <v>0</v>
      </c>
      <c r="P238" s="7">
        <v>1.49</v>
      </c>
    </row>
    <row r="239" ht="15.3" spans="1:16">
      <c r="A239" s="12">
        <v>10.2</v>
      </c>
      <c r="B239" s="18">
        <v>20</v>
      </c>
      <c r="C239" s="14">
        <v>0</v>
      </c>
      <c r="D239" s="15">
        <v>930</v>
      </c>
      <c r="E239" s="14">
        <v>1048</v>
      </c>
      <c r="F239" s="19">
        <f t="shared" si="3"/>
        <v>1978</v>
      </c>
      <c r="G239" s="7">
        <v>9.85</v>
      </c>
      <c r="H239" s="7" t="s">
        <v>16</v>
      </c>
      <c r="I239" s="7">
        <f>VLOOKUP(H239,Sheet4!A:B,2,0)</f>
        <v>10</v>
      </c>
      <c r="J239" s="7">
        <v>0</v>
      </c>
      <c r="K239" s="7">
        <v>2.08</v>
      </c>
      <c r="L239" s="7">
        <v>8.21</v>
      </c>
      <c r="M239" s="7" t="s">
        <v>16</v>
      </c>
      <c r="N239" s="7">
        <f>VLOOKUP(M239,Sheet4!A:B,2,0)</f>
        <v>10</v>
      </c>
      <c r="O239" s="7">
        <v>0</v>
      </c>
      <c r="P239" s="7">
        <v>2.77</v>
      </c>
    </row>
    <row r="240" ht="15.3" spans="1:16">
      <c r="A240" s="12">
        <v>10.2</v>
      </c>
      <c r="B240" s="18">
        <v>22</v>
      </c>
      <c r="C240" s="14">
        <v>0</v>
      </c>
      <c r="D240" s="15">
        <v>747</v>
      </c>
      <c r="E240" s="14">
        <v>917</v>
      </c>
      <c r="F240" s="19">
        <f t="shared" si="3"/>
        <v>1664</v>
      </c>
      <c r="G240" s="7">
        <v>10.15</v>
      </c>
      <c r="H240" s="7" t="s">
        <v>16</v>
      </c>
      <c r="I240" s="7">
        <f>VLOOKUP(H240,Sheet4!A:B,2,0)</f>
        <v>10</v>
      </c>
      <c r="J240" s="7">
        <v>0</v>
      </c>
      <c r="K240" s="7">
        <v>4.41</v>
      </c>
      <c r="L240" s="7">
        <v>6.71</v>
      </c>
      <c r="M240" s="7" t="s">
        <v>16</v>
      </c>
      <c r="N240" s="7">
        <f>VLOOKUP(M240,Sheet4!A:B,2,0)</f>
        <v>10</v>
      </c>
      <c r="O240" s="7">
        <v>0</v>
      </c>
      <c r="P240" s="7">
        <v>2.03</v>
      </c>
    </row>
    <row r="241" ht="15.3" spans="1:16">
      <c r="A241" s="12">
        <v>10.2</v>
      </c>
      <c r="B241" s="20">
        <v>24</v>
      </c>
      <c r="C241" s="14">
        <v>0</v>
      </c>
      <c r="D241" s="15">
        <v>785</v>
      </c>
      <c r="E241" s="14">
        <v>646</v>
      </c>
      <c r="F241" s="19">
        <f t="shared" si="3"/>
        <v>1431</v>
      </c>
      <c r="G241" s="7">
        <v>10.15</v>
      </c>
      <c r="H241" s="7" t="s">
        <v>16</v>
      </c>
      <c r="I241" s="7">
        <f>VLOOKUP(H241,Sheet4!A:B,2,0)</f>
        <v>10</v>
      </c>
      <c r="J241" s="7">
        <v>0</v>
      </c>
      <c r="K241" s="7">
        <v>4.43</v>
      </c>
      <c r="L241" s="7">
        <v>6.01</v>
      </c>
      <c r="M241" s="7" t="s">
        <v>16</v>
      </c>
      <c r="N241" s="7">
        <f>VLOOKUP(M241,Sheet4!A:B,2,0)</f>
        <v>10</v>
      </c>
      <c r="O241" s="7">
        <v>0</v>
      </c>
      <c r="P241" s="7">
        <v>1.9</v>
      </c>
    </row>
    <row r="242" ht="15.3" spans="1:16">
      <c r="A242" s="12">
        <v>10.21</v>
      </c>
      <c r="B242" s="18">
        <v>2</v>
      </c>
      <c r="C242" s="14">
        <v>0</v>
      </c>
      <c r="D242" s="15">
        <v>483</v>
      </c>
      <c r="E242" s="14">
        <v>364</v>
      </c>
      <c r="F242" s="19">
        <f t="shared" si="3"/>
        <v>847</v>
      </c>
      <c r="G242" s="7">
        <v>10.1</v>
      </c>
      <c r="H242" s="7" t="s">
        <v>16</v>
      </c>
      <c r="I242" s="7">
        <f>VLOOKUP(H242,Sheet4!A:B,2,0)</f>
        <v>10</v>
      </c>
      <c r="J242" s="7">
        <v>0</v>
      </c>
      <c r="K242" s="7">
        <v>5.75</v>
      </c>
      <c r="L242" s="7">
        <v>5.81</v>
      </c>
      <c r="M242" s="7" t="s">
        <v>16</v>
      </c>
      <c r="N242" s="7">
        <f>VLOOKUP(M242,Sheet4!A:B,2,0)</f>
        <v>10</v>
      </c>
      <c r="O242" s="7">
        <v>0</v>
      </c>
      <c r="P242" s="7">
        <v>1.5</v>
      </c>
    </row>
    <row r="243" ht="15.3" spans="1:16">
      <c r="A243" s="12">
        <v>10.21</v>
      </c>
      <c r="B243" s="18">
        <v>4</v>
      </c>
      <c r="C243" s="14">
        <v>0</v>
      </c>
      <c r="D243" s="15">
        <v>513</v>
      </c>
      <c r="E243" s="14">
        <v>260</v>
      </c>
      <c r="F243" s="19">
        <f t="shared" si="3"/>
        <v>773</v>
      </c>
      <c r="G243" s="7">
        <v>9.8</v>
      </c>
      <c r="H243" s="7" t="s">
        <v>16</v>
      </c>
      <c r="I243" s="7">
        <f>VLOOKUP(H243,Sheet4!A:B,2,0)</f>
        <v>10</v>
      </c>
      <c r="J243" s="7">
        <v>0</v>
      </c>
      <c r="K243" s="7">
        <v>5.79</v>
      </c>
      <c r="L243" s="7">
        <v>4.56</v>
      </c>
      <c r="M243" s="7" t="s">
        <v>16</v>
      </c>
      <c r="N243" s="7">
        <f>VLOOKUP(M243,Sheet4!A:B,2,0)</f>
        <v>10</v>
      </c>
      <c r="O243" s="7">
        <v>0</v>
      </c>
      <c r="P243" s="7">
        <v>2.24</v>
      </c>
    </row>
    <row r="244" ht="15.3" spans="1:16">
      <c r="A244" s="12">
        <v>10.21</v>
      </c>
      <c r="B244" s="18">
        <v>6</v>
      </c>
      <c r="C244" s="14">
        <v>0</v>
      </c>
      <c r="D244" s="15">
        <v>445</v>
      </c>
      <c r="E244" s="14">
        <v>405</v>
      </c>
      <c r="F244" s="19">
        <f t="shared" si="3"/>
        <v>850</v>
      </c>
      <c r="G244" s="7">
        <v>9.45</v>
      </c>
      <c r="H244" s="7" t="s">
        <v>16</v>
      </c>
      <c r="I244" s="7">
        <f>VLOOKUP(H244,Sheet4!A:B,2,0)</f>
        <v>10</v>
      </c>
      <c r="J244" s="7">
        <v>0</v>
      </c>
      <c r="K244" s="7">
        <v>5.2</v>
      </c>
      <c r="L244" s="7">
        <v>3.86</v>
      </c>
      <c r="M244" s="7" t="s">
        <v>16</v>
      </c>
      <c r="N244" s="7">
        <f>VLOOKUP(M244,Sheet4!A:B,2,0)</f>
        <v>10</v>
      </c>
      <c r="O244" s="7">
        <v>0</v>
      </c>
      <c r="P244" s="7">
        <v>2.13</v>
      </c>
    </row>
    <row r="245" ht="15.3" spans="1:16">
      <c r="A245" s="12">
        <v>10.21</v>
      </c>
      <c r="B245" s="18">
        <v>8</v>
      </c>
      <c r="C245" s="14">
        <v>0</v>
      </c>
      <c r="D245" s="15">
        <v>717</v>
      </c>
      <c r="E245" s="14">
        <v>848</v>
      </c>
      <c r="F245" s="19">
        <f t="shared" si="3"/>
        <v>1565</v>
      </c>
      <c r="G245" s="7">
        <v>8.7</v>
      </c>
      <c r="H245" s="7" t="s">
        <v>16</v>
      </c>
      <c r="I245" s="7">
        <f>VLOOKUP(H245,Sheet4!A:B,2,0)</f>
        <v>10</v>
      </c>
      <c r="J245" s="7">
        <v>0</v>
      </c>
      <c r="K245" s="7">
        <v>4.48</v>
      </c>
      <c r="L245" s="7">
        <v>4.06</v>
      </c>
      <c r="M245" s="7" t="s">
        <v>16</v>
      </c>
      <c r="N245" s="7">
        <f>VLOOKUP(M245,Sheet4!A:B,2,0)</f>
        <v>10</v>
      </c>
      <c r="O245" s="7">
        <v>0</v>
      </c>
      <c r="P245" s="7">
        <v>2.42</v>
      </c>
    </row>
    <row r="246" ht="15.3" spans="1:16">
      <c r="A246" s="12">
        <v>10.21</v>
      </c>
      <c r="B246" s="18">
        <v>10</v>
      </c>
      <c r="C246" s="14">
        <v>0</v>
      </c>
      <c r="D246" s="15">
        <v>1179</v>
      </c>
      <c r="E246" s="14">
        <v>1054</v>
      </c>
      <c r="F246" s="19">
        <f t="shared" si="3"/>
        <v>2233</v>
      </c>
      <c r="G246" s="7">
        <v>9.7</v>
      </c>
      <c r="H246" s="7" t="s">
        <v>16</v>
      </c>
      <c r="I246" s="7">
        <f>VLOOKUP(H246,Sheet4!A:B,2,0)</f>
        <v>10</v>
      </c>
      <c r="J246" s="7">
        <v>0</v>
      </c>
      <c r="K246" s="7">
        <v>2.77</v>
      </c>
      <c r="L246" s="7">
        <v>8.31</v>
      </c>
      <c r="M246" s="7" t="s">
        <v>16</v>
      </c>
      <c r="N246" s="7">
        <f>VLOOKUP(M246,Sheet4!A:B,2,0)</f>
        <v>10</v>
      </c>
      <c r="O246" s="7">
        <v>0</v>
      </c>
      <c r="P246" s="7">
        <v>1.24</v>
      </c>
    </row>
    <row r="247" ht="15.3" spans="1:16">
      <c r="A247" s="12">
        <v>10.21</v>
      </c>
      <c r="B247" s="18">
        <v>12</v>
      </c>
      <c r="C247" s="14">
        <v>0</v>
      </c>
      <c r="D247" s="15">
        <v>1222</v>
      </c>
      <c r="E247" s="14">
        <v>1211</v>
      </c>
      <c r="F247" s="19">
        <f t="shared" si="3"/>
        <v>2433</v>
      </c>
      <c r="G247" s="7">
        <v>10.3</v>
      </c>
      <c r="H247" s="7" t="s">
        <v>16</v>
      </c>
      <c r="I247" s="7">
        <f>VLOOKUP(H247,Sheet4!A:B,2,0)</f>
        <v>10</v>
      </c>
      <c r="J247" s="7">
        <v>0</v>
      </c>
      <c r="K247" s="7">
        <v>2.52</v>
      </c>
      <c r="L247" s="7">
        <v>12.01</v>
      </c>
      <c r="M247" s="7" t="s">
        <v>16</v>
      </c>
      <c r="N247" s="7">
        <f>VLOOKUP(M247,Sheet4!A:B,2,0)</f>
        <v>10</v>
      </c>
      <c r="O247" s="7">
        <v>0</v>
      </c>
      <c r="P247" s="7">
        <v>2.08</v>
      </c>
    </row>
    <row r="248" ht="15.3" spans="1:16">
      <c r="A248" s="12">
        <v>10.21</v>
      </c>
      <c r="B248" s="18">
        <v>14</v>
      </c>
      <c r="C248" s="14">
        <v>0</v>
      </c>
      <c r="D248" s="15">
        <v>1270</v>
      </c>
      <c r="E248" s="14">
        <v>1285</v>
      </c>
      <c r="F248" s="19">
        <f t="shared" si="3"/>
        <v>2555</v>
      </c>
      <c r="G248" s="7">
        <v>10.9</v>
      </c>
      <c r="H248" s="7" t="s">
        <v>16</v>
      </c>
      <c r="I248" s="7">
        <f>VLOOKUP(H248,Sheet4!A:B,2,0)</f>
        <v>10</v>
      </c>
      <c r="J248" s="7">
        <v>0</v>
      </c>
      <c r="K248" s="7">
        <v>1.83</v>
      </c>
      <c r="L248" s="7">
        <v>13.06</v>
      </c>
      <c r="M248" s="7" t="s">
        <v>16</v>
      </c>
      <c r="N248" s="7">
        <f>VLOOKUP(M248,Sheet4!A:B,2,0)</f>
        <v>10</v>
      </c>
      <c r="O248" s="7">
        <v>0</v>
      </c>
      <c r="P248" s="7">
        <v>1.86</v>
      </c>
    </row>
    <row r="249" ht="15.3" spans="1:16">
      <c r="A249" s="12">
        <v>10.21</v>
      </c>
      <c r="B249" s="18">
        <v>16</v>
      </c>
      <c r="C249" s="14">
        <v>0</v>
      </c>
      <c r="D249" s="15">
        <v>1232</v>
      </c>
      <c r="E249" s="14">
        <v>1437</v>
      </c>
      <c r="F249" s="19">
        <f t="shared" si="3"/>
        <v>2669</v>
      </c>
      <c r="G249" s="7">
        <v>11.2</v>
      </c>
      <c r="H249" s="7" t="s">
        <v>16</v>
      </c>
      <c r="I249" s="7">
        <f>VLOOKUP(H249,Sheet4!A:B,2,0)</f>
        <v>10</v>
      </c>
      <c r="J249" s="7">
        <v>0</v>
      </c>
      <c r="K249" s="7">
        <v>1.89</v>
      </c>
      <c r="L249" s="7">
        <v>13.06</v>
      </c>
      <c r="M249" s="7" t="s">
        <v>16</v>
      </c>
      <c r="N249" s="7">
        <f>VLOOKUP(M249,Sheet4!A:B,2,0)</f>
        <v>10</v>
      </c>
      <c r="O249" s="7">
        <v>0</v>
      </c>
      <c r="P249" s="7">
        <v>2.93</v>
      </c>
    </row>
    <row r="250" ht="15.3" spans="1:16">
      <c r="A250" s="12">
        <v>10.21</v>
      </c>
      <c r="B250" s="18">
        <v>18</v>
      </c>
      <c r="C250" s="14">
        <v>0</v>
      </c>
      <c r="D250" s="15">
        <v>1235</v>
      </c>
      <c r="E250" s="14">
        <v>1426</v>
      </c>
      <c r="F250" s="19">
        <f t="shared" si="3"/>
        <v>2661</v>
      </c>
      <c r="G250" s="7">
        <v>11.25</v>
      </c>
      <c r="H250" s="7" t="s">
        <v>16</v>
      </c>
      <c r="I250" s="7">
        <f>VLOOKUP(H250,Sheet4!A:B,2,0)</f>
        <v>10</v>
      </c>
      <c r="J250" s="7">
        <v>0</v>
      </c>
      <c r="K250" s="7">
        <v>3.05</v>
      </c>
      <c r="L250" s="7">
        <v>10.46</v>
      </c>
      <c r="M250" s="7" t="s">
        <v>16</v>
      </c>
      <c r="N250" s="7">
        <f>VLOOKUP(M250,Sheet4!A:B,2,0)</f>
        <v>10</v>
      </c>
      <c r="O250" s="7">
        <v>0</v>
      </c>
      <c r="P250" s="7">
        <v>2.14</v>
      </c>
    </row>
    <row r="251" ht="15.3" spans="1:16">
      <c r="A251" s="12">
        <v>10.21</v>
      </c>
      <c r="B251" s="18">
        <v>20</v>
      </c>
      <c r="C251" s="14">
        <v>0</v>
      </c>
      <c r="D251" s="15">
        <v>1052</v>
      </c>
      <c r="E251" s="14">
        <v>1117</v>
      </c>
      <c r="F251" s="19">
        <f t="shared" si="3"/>
        <v>2169</v>
      </c>
      <c r="G251" s="7">
        <v>11.35</v>
      </c>
      <c r="H251" s="7" t="s">
        <v>16</v>
      </c>
      <c r="I251" s="7">
        <f>VLOOKUP(H251,Sheet4!A:B,2,0)</f>
        <v>10</v>
      </c>
      <c r="J251" s="7">
        <v>0</v>
      </c>
      <c r="K251" s="7">
        <v>2.21</v>
      </c>
      <c r="L251" s="7">
        <v>8.01</v>
      </c>
      <c r="M251" s="7" t="s">
        <v>16</v>
      </c>
      <c r="N251" s="7">
        <f>VLOOKUP(M251,Sheet4!A:B,2,0)</f>
        <v>10</v>
      </c>
      <c r="O251" s="7">
        <v>0</v>
      </c>
      <c r="P251" s="7">
        <v>2.33</v>
      </c>
    </row>
    <row r="252" ht="15.3" spans="1:16">
      <c r="A252" s="12">
        <v>10.21</v>
      </c>
      <c r="B252" s="18">
        <v>22</v>
      </c>
      <c r="C252" s="14">
        <v>0</v>
      </c>
      <c r="D252" s="15">
        <v>1062</v>
      </c>
      <c r="E252" s="14">
        <v>958</v>
      </c>
      <c r="F252" s="19">
        <f t="shared" si="3"/>
        <v>2020</v>
      </c>
      <c r="G252" s="7">
        <v>11.3</v>
      </c>
      <c r="H252" s="7" t="s">
        <v>16</v>
      </c>
      <c r="I252" s="7">
        <f>VLOOKUP(H252,Sheet4!A:B,2,0)</f>
        <v>10</v>
      </c>
      <c r="J252" s="7">
        <v>0</v>
      </c>
      <c r="K252" s="7">
        <v>1.48</v>
      </c>
      <c r="L252" s="7">
        <v>6.41</v>
      </c>
      <c r="M252" s="7" t="s">
        <v>16</v>
      </c>
      <c r="N252" s="7">
        <f>VLOOKUP(M252,Sheet4!A:B,2,0)</f>
        <v>10</v>
      </c>
      <c r="O252" s="7">
        <v>0</v>
      </c>
      <c r="P252" s="7">
        <v>1.57</v>
      </c>
    </row>
    <row r="253" ht="15.3" spans="1:16">
      <c r="A253" s="12">
        <v>10.21</v>
      </c>
      <c r="B253" s="20">
        <v>24</v>
      </c>
      <c r="C253" s="14">
        <v>0</v>
      </c>
      <c r="D253" s="15">
        <v>951</v>
      </c>
      <c r="E253" s="14">
        <v>643</v>
      </c>
      <c r="F253" s="19">
        <f t="shared" si="3"/>
        <v>1594</v>
      </c>
      <c r="G253" s="7">
        <v>11.5</v>
      </c>
      <c r="H253" s="7" t="s">
        <v>16</v>
      </c>
      <c r="I253" s="7">
        <f>VLOOKUP(H253,Sheet4!A:B,2,0)</f>
        <v>10</v>
      </c>
      <c r="J253" s="7">
        <v>0</v>
      </c>
      <c r="K253" s="7">
        <v>1</v>
      </c>
      <c r="L253" s="7">
        <v>5.61</v>
      </c>
      <c r="M253" s="7" t="s">
        <v>16</v>
      </c>
      <c r="N253" s="7">
        <f>VLOOKUP(M253,Sheet4!A:B,2,0)</f>
        <v>10</v>
      </c>
      <c r="O253" s="7">
        <v>0</v>
      </c>
      <c r="P253" s="7">
        <v>1.39</v>
      </c>
    </row>
    <row r="254" ht="15.3" spans="1:16">
      <c r="A254" s="12">
        <v>10.22</v>
      </c>
      <c r="B254" s="18">
        <v>2</v>
      </c>
      <c r="C254" s="14">
        <v>0</v>
      </c>
      <c r="D254" s="15">
        <v>666</v>
      </c>
      <c r="E254" s="14">
        <v>368</v>
      </c>
      <c r="F254" s="19">
        <f t="shared" si="3"/>
        <v>1034</v>
      </c>
      <c r="G254" s="7">
        <v>11.55</v>
      </c>
      <c r="H254" s="7" t="s">
        <v>16</v>
      </c>
      <c r="I254" s="7">
        <f>VLOOKUP(H254,Sheet4!A:B,2,0)</f>
        <v>10</v>
      </c>
      <c r="J254" s="7">
        <v>0</v>
      </c>
      <c r="K254" s="7">
        <v>2.05</v>
      </c>
      <c r="L254" s="7">
        <v>5.36</v>
      </c>
      <c r="M254" s="7" t="s">
        <v>16</v>
      </c>
      <c r="N254" s="7">
        <f>VLOOKUP(M254,Sheet4!A:B,2,0)</f>
        <v>10</v>
      </c>
      <c r="O254" s="7">
        <v>0</v>
      </c>
      <c r="P254" s="7">
        <v>1.01</v>
      </c>
    </row>
    <row r="255" ht="15.3" spans="1:16">
      <c r="A255" s="12">
        <v>10.22</v>
      </c>
      <c r="B255" s="18">
        <v>4</v>
      </c>
      <c r="C255" s="14">
        <v>0</v>
      </c>
      <c r="D255" s="15">
        <v>520</v>
      </c>
      <c r="E255" s="14">
        <v>267</v>
      </c>
      <c r="F255" s="19">
        <f t="shared" si="3"/>
        <v>787</v>
      </c>
      <c r="G255" s="7">
        <v>11.25</v>
      </c>
      <c r="H255" s="7" t="s">
        <v>16</v>
      </c>
      <c r="I255" s="7">
        <f>VLOOKUP(H255,Sheet4!A:B,2,0)</f>
        <v>10</v>
      </c>
      <c r="J255" s="7">
        <v>0</v>
      </c>
      <c r="K255" s="7">
        <v>4.28</v>
      </c>
      <c r="L255" s="7">
        <v>4.91</v>
      </c>
      <c r="M255" s="7" t="s">
        <v>16</v>
      </c>
      <c r="N255" s="7">
        <f>VLOOKUP(M255,Sheet4!A:B,2,0)</f>
        <v>10</v>
      </c>
      <c r="O255" s="7">
        <v>0</v>
      </c>
      <c r="P255" s="7">
        <v>1.45</v>
      </c>
    </row>
    <row r="256" ht="15.3" spans="1:16">
      <c r="A256" s="12">
        <v>10.22</v>
      </c>
      <c r="B256" s="18">
        <v>6</v>
      </c>
      <c r="C256" s="14">
        <v>0</v>
      </c>
      <c r="D256" s="15">
        <v>549</v>
      </c>
      <c r="E256" s="14">
        <v>425</v>
      </c>
      <c r="F256" s="19">
        <f t="shared" si="3"/>
        <v>974</v>
      </c>
      <c r="G256" s="7">
        <v>11.2</v>
      </c>
      <c r="H256" s="7" t="s">
        <v>16</v>
      </c>
      <c r="I256" s="7">
        <f>VLOOKUP(H256,Sheet4!A:B,2,0)</f>
        <v>10</v>
      </c>
      <c r="J256" s="7">
        <v>0</v>
      </c>
      <c r="K256" s="7">
        <v>4.79</v>
      </c>
      <c r="L256" s="7">
        <v>4.51</v>
      </c>
      <c r="M256" s="7" t="s">
        <v>16</v>
      </c>
      <c r="N256" s="7">
        <f>VLOOKUP(M256,Sheet4!A:B,2,0)</f>
        <v>10</v>
      </c>
      <c r="O256" s="7">
        <v>0</v>
      </c>
      <c r="P256" s="7">
        <v>1.58</v>
      </c>
    </row>
    <row r="257" ht="15.3" spans="1:16">
      <c r="A257" s="12">
        <v>10.22</v>
      </c>
      <c r="B257" s="18">
        <v>8</v>
      </c>
      <c r="C257" s="14">
        <v>0</v>
      </c>
      <c r="D257" s="15">
        <v>947</v>
      </c>
      <c r="E257" s="14">
        <v>946</v>
      </c>
      <c r="F257" s="19">
        <f t="shared" si="3"/>
        <v>1893</v>
      </c>
      <c r="G257" s="7">
        <v>11.3</v>
      </c>
      <c r="H257" s="7" t="s">
        <v>16</v>
      </c>
      <c r="I257" s="7">
        <f>VLOOKUP(H257,Sheet4!A:B,2,0)</f>
        <v>10</v>
      </c>
      <c r="J257" s="7">
        <v>0</v>
      </c>
      <c r="K257" s="7">
        <v>5.08</v>
      </c>
      <c r="L257" s="7">
        <v>4.71</v>
      </c>
      <c r="M257" s="7" t="s">
        <v>16</v>
      </c>
      <c r="N257" s="7">
        <f>VLOOKUP(M257,Sheet4!A:B,2,0)</f>
        <v>10</v>
      </c>
      <c r="O257" s="7">
        <v>0</v>
      </c>
      <c r="P257" s="7">
        <v>1.24</v>
      </c>
    </row>
    <row r="258" ht="15.3" spans="1:16">
      <c r="A258" s="12">
        <v>10.22</v>
      </c>
      <c r="B258" s="18">
        <v>10</v>
      </c>
      <c r="C258" s="14">
        <v>0</v>
      </c>
      <c r="D258" s="15">
        <v>1193</v>
      </c>
      <c r="E258" s="14">
        <v>1121</v>
      </c>
      <c r="F258" s="19">
        <f t="shared" si="3"/>
        <v>2314</v>
      </c>
      <c r="G258" s="7">
        <v>11.75</v>
      </c>
      <c r="H258" s="7" t="s">
        <v>16</v>
      </c>
      <c r="I258" s="7">
        <f>VLOOKUP(H258,Sheet4!A:B,2,0)</f>
        <v>10</v>
      </c>
      <c r="J258" s="7">
        <v>0</v>
      </c>
      <c r="K258" s="7">
        <v>3.83</v>
      </c>
      <c r="L258" s="7">
        <v>10.41</v>
      </c>
      <c r="M258" s="7" t="s">
        <v>16</v>
      </c>
      <c r="N258" s="7">
        <f>VLOOKUP(M258,Sheet4!A:B,2,0)</f>
        <v>10</v>
      </c>
      <c r="O258" s="7">
        <v>0</v>
      </c>
      <c r="P258" s="7">
        <v>0.92</v>
      </c>
    </row>
    <row r="259" ht="15.3" spans="1:16">
      <c r="A259" s="12">
        <v>10.22</v>
      </c>
      <c r="B259" s="18">
        <v>12</v>
      </c>
      <c r="C259" s="14">
        <v>0</v>
      </c>
      <c r="D259" s="15">
        <v>1383</v>
      </c>
      <c r="E259" s="14">
        <v>1173</v>
      </c>
      <c r="F259" s="19">
        <f t="shared" ref="F259:F322" si="4">D259+E259</f>
        <v>2556</v>
      </c>
      <c r="G259" s="7">
        <v>12.15</v>
      </c>
      <c r="H259" s="7" t="s">
        <v>16</v>
      </c>
      <c r="I259" s="7">
        <f>VLOOKUP(H259,Sheet4!A:B,2,0)</f>
        <v>10</v>
      </c>
      <c r="J259" s="7">
        <v>0</v>
      </c>
      <c r="K259" s="7">
        <v>3.29</v>
      </c>
      <c r="L259" s="7">
        <v>13.06</v>
      </c>
      <c r="M259" s="7" t="s">
        <v>16</v>
      </c>
      <c r="N259" s="7">
        <f>VLOOKUP(M259,Sheet4!A:B,2,0)</f>
        <v>10</v>
      </c>
      <c r="O259" s="7">
        <v>0</v>
      </c>
      <c r="P259" s="7">
        <v>1.64</v>
      </c>
    </row>
    <row r="260" ht="15.3" spans="1:16">
      <c r="A260" s="12">
        <v>10.22</v>
      </c>
      <c r="B260" s="18">
        <v>14</v>
      </c>
      <c r="C260" s="14">
        <v>0</v>
      </c>
      <c r="D260" s="15">
        <v>1175</v>
      </c>
      <c r="E260" s="14">
        <v>192</v>
      </c>
      <c r="F260" s="19">
        <f t="shared" si="4"/>
        <v>1367</v>
      </c>
      <c r="G260" s="7">
        <v>12.35</v>
      </c>
      <c r="H260" s="7" t="s">
        <v>16</v>
      </c>
      <c r="I260" s="7">
        <f>VLOOKUP(H260,Sheet4!A:B,2,0)</f>
        <v>10</v>
      </c>
      <c r="J260" s="7">
        <v>0</v>
      </c>
      <c r="K260" s="7">
        <v>2.68</v>
      </c>
      <c r="L260" s="7">
        <v>13.96</v>
      </c>
      <c r="M260" s="7" t="s">
        <v>16</v>
      </c>
      <c r="N260" s="7">
        <f>VLOOKUP(M260,Sheet4!A:B,2,0)</f>
        <v>10</v>
      </c>
      <c r="O260" s="7">
        <v>0</v>
      </c>
      <c r="P260" s="7">
        <v>1.92</v>
      </c>
    </row>
    <row r="261" ht="15.3" spans="1:16">
      <c r="A261" s="12">
        <v>10.22</v>
      </c>
      <c r="B261" s="18">
        <v>16</v>
      </c>
      <c r="C261" s="14">
        <v>0</v>
      </c>
      <c r="D261" s="15">
        <v>1389</v>
      </c>
      <c r="E261" s="14">
        <v>940</v>
      </c>
      <c r="F261" s="19">
        <f t="shared" si="4"/>
        <v>2329</v>
      </c>
      <c r="G261" s="7">
        <v>12.7</v>
      </c>
      <c r="H261" s="7" t="s">
        <v>16</v>
      </c>
      <c r="I261" s="7">
        <f>VLOOKUP(H261,Sheet4!A:B,2,0)</f>
        <v>10</v>
      </c>
      <c r="J261" s="7">
        <v>0</v>
      </c>
      <c r="K261" s="7">
        <v>2.54</v>
      </c>
      <c r="L261" s="7">
        <v>14.01</v>
      </c>
      <c r="M261" s="7" t="s">
        <v>16</v>
      </c>
      <c r="N261" s="7">
        <f>VLOOKUP(M261,Sheet4!A:B,2,0)</f>
        <v>10</v>
      </c>
      <c r="O261" s="7">
        <v>0</v>
      </c>
      <c r="P261" s="7">
        <v>1.49</v>
      </c>
    </row>
    <row r="262" ht="15.3" spans="1:16">
      <c r="A262" s="12">
        <v>10.22</v>
      </c>
      <c r="B262" s="18">
        <v>18</v>
      </c>
      <c r="C262" s="14">
        <v>0</v>
      </c>
      <c r="D262" s="15">
        <v>1324</v>
      </c>
      <c r="E262" s="14">
        <v>1354</v>
      </c>
      <c r="F262" s="19">
        <f t="shared" si="4"/>
        <v>2678</v>
      </c>
      <c r="G262" s="7">
        <v>12.6</v>
      </c>
      <c r="H262" s="7" t="s">
        <v>16</v>
      </c>
      <c r="I262" s="7">
        <f>VLOOKUP(H262,Sheet4!A:B,2,0)</f>
        <v>10</v>
      </c>
      <c r="J262" s="7">
        <v>0</v>
      </c>
      <c r="K262" s="7">
        <v>1.15</v>
      </c>
      <c r="L262" s="7">
        <v>12.61</v>
      </c>
      <c r="M262" s="7" t="s">
        <v>16</v>
      </c>
      <c r="N262" s="7">
        <f>VLOOKUP(M262,Sheet4!A:B,2,0)</f>
        <v>10</v>
      </c>
      <c r="O262" s="7">
        <v>0</v>
      </c>
      <c r="P262" s="7">
        <v>0.46</v>
      </c>
    </row>
    <row r="263" ht="15.3" spans="1:16">
      <c r="A263" s="12">
        <v>10.22</v>
      </c>
      <c r="B263" s="18">
        <v>20</v>
      </c>
      <c r="C263" s="14">
        <v>0</v>
      </c>
      <c r="D263" s="15">
        <v>1096</v>
      </c>
      <c r="E263" s="14">
        <v>1273</v>
      </c>
      <c r="F263" s="19">
        <f t="shared" si="4"/>
        <v>2369</v>
      </c>
      <c r="G263" s="7">
        <v>12.75</v>
      </c>
      <c r="H263" s="7" t="s">
        <v>16</v>
      </c>
      <c r="I263" s="7">
        <f>VLOOKUP(H263,Sheet4!A:B,2,0)</f>
        <v>10</v>
      </c>
      <c r="J263" s="7">
        <v>0</v>
      </c>
      <c r="K263" s="7">
        <v>1.39</v>
      </c>
      <c r="L263" s="7">
        <v>10.51</v>
      </c>
      <c r="M263" s="7" t="s">
        <v>16</v>
      </c>
      <c r="N263" s="7">
        <f>VLOOKUP(M263,Sheet4!A:B,2,0)</f>
        <v>10</v>
      </c>
      <c r="O263" s="7">
        <v>0</v>
      </c>
      <c r="P263" s="7">
        <v>2.48</v>
      </c>
    </row>
    <row r="264" ht="15.3" spans="1:16">
      <c r="A264" s="12">
        <v>10.22</v>
      </c>
      <c r="B264" s="18">
        <v>22</v>
      </c>
      <c r="C264" s="14">
        <v>0</v>
      </c>
      <c r="D264" s="15">
        <v>1118</v>
      </c>
      <c r="E264" s="14">
        <v>1066</v>
      </c>
      <c r="F264" s="19">
        <f t="shared" si="4"/>
        <v>2184</v>
      </c>
      <c r="G264" s="7">
        <v>12.95</v>
      </c>
      <c r="H264" s="7" t="s">
        <v>16</v>
      </c>
      <c r="I264" s="7">
        <f>VLOOKUP(H264,Sheet4!A:B,2,0)</f>
        <v>10</v>
      </c>
      <c r="J264" s="7">
        <v>0</v>
      </c>
      <c r="K264" s="7">
        <v>1.46</v>
      </c>
      <c r="L264" s="7">
        <v>9.91</v>
      </c>
      <c r="M264" s="7" t="s">
        <v>16</v>
      </c>
      <c r="N264" s="7">
        <f>VLOOKUP(M264,Sheet4!A:B,2,0)</f>
        <v>10</v>
      </c>
      <c r="O264" s="7">
        <v>0</v>
      </c>
      <c r="P264" s="7">
        <v>1.27</v>
      </c>
    </row>
    <row r="265" ht="15.3" spans="1:16">
      <c r="A265" s="12">
        <v>10.22</v>
      </c>
      <c r="B265" s="20">
        <v>24</v>
      </c>
      <c r="C265" s="14">
        <v>0</v>
      </c>
      <c r="D265" s="15">
        <v>1003</v>
      </c>
      <c r="E265" s="14">
        <v>721</v>
      </c>
      <c r="F265" s="19">
        <f t="shared" si="4"/>
        <v>1724</v>
      </c>
      <c r="G265" s="7">
        <v>13.05</v>
      </c>
      <c r="H265" s="7" t="s">
        <v>16</v>
      </c>
      <c r="I265" s="7">
        <f>VLOOKUP(H265,Sheet4!A:B,2,0)</f>
        <v>10</v>
      </c>
      <c r="J265" s="7">
        <v>0</v>
      </c>
      <c r="K265" s="7">
        <v>1.3</v>
      </c>
      <c r="L265" s="7">
        <v>9.96</v>
      </c>
      <c r="M265" s="7" t="s">
        <v>16</v>
      </c>
      <c r="N265" s="7">
        <f>VLOOKUP(M265,Sheet4!A:B,2,0)</f>
        <v>10</v>
      </c>
      <c r="O265" s="7">
        <v>0</v>
      </c>
      <c r="P265" s="7">
        <v>1.36</v>
      </c>
    </row>
    <row r="266" ht="15.3" spans="1:16">
      <c r="A266" s="12">
        <v>10.23</v>
      </c>
      <c r="B266" s="18">
        <v>2</v>
      </c>
      <c r="C266" s="14">
        <v>0</v>
      </c>
      <c r="D266" s="15">
        <v>688</v>
      </c>
      <c r="E266" s="14">
        <v>438</v>
      </c>
      <c r="F266" s="19">
        <f t="shared" si="4"/>
        <v>1126</v>
      </c>
      <c r="G266" s="7">
        <v>13.2</v>
      </c>
      <c r="H266" s="7" t="s">
        <v>16</v>
      </c>
      <c r="I266" s="7">
        <f>VLOOKUP(H266,Sheet4!A:B,2,0)</f>
        <v>10</v>
      </c>
      <c r="J266" s="7">
        <v>0</v>
      </c>
      <c r="K266" s="7">
        <v>2.43</v>
      </c>
      <c r="L266" s="7">
        <v>9.86</v>
      </c>
      <c r="M266" s="7" t="s">
        <v>16</v>
      </c>
      <c r="N266" s="7">
        <f>VLOOKUP(M266,Sheet4!A:B,2,0)</f>
        <v>10</v>
      </c>
      <c r="O266" s="7">
        <v>0</v>
      </c>
      <c r="P266" s="7">
        <v>0.93</v>
      </c>
    </row>
    <row r="267" ht="15.3" spans="1:16">
      <c r="A267" s="12">
        <v>10.23</v>
      </c>
      <c r="B267" s="18">
        <v>4</v>
      </c>
      <c r="C267" s="14">
        <v>0</v>
      </c>
      <c r="D267" s="15">
        <v>437</v>
      </c>
      <c r="E267" s="14">
        <v>368</v>
      </c>
      <c r="F267" s="19">
        <f t="shared" si="4"/>
        <v>805</v>
      </c>
      <c r="G267" s="7">
        <v>13.05</v>
      </c>
      <c r="H267" s="7" t="s">
        <v>16</v>
      </c>
      <c r="I267" s="7">
        <f>VLOOKUP(H267,Sheet4!A:B,2,0)</f>
        <v>10</v>
      </c>
      <c r="J267" s="7">
        <v>0</v>
      </c>
      <c r="K267" s="7">
        <v>4.1</v>
      </c>
      <c r="L267" s="7">
        <v>9.41</v>
      </c>
      <c r="M267" s="7" t="s">
        <v>16</v>
      </c>
      <c r="N267" s="7">
        <f>VLOOKUP(M267,Sheet4!A:B,2,0)</f>
        <v>10</v>
      </c>
      <c r="O267" s="7">
        <v>0</v>
      </c>
      <c r="P267" s="7">
        <v>1.49</v>
      </c>
    </row>
    <row r="268" ht="15.3" spans="1:16">
      <c r="A268" s="12">
        <v>10.23</v>
      </c>
      <c r="B268" s="18">
        <v>6</v>
      </c>
      <c r="C268" s="14">
        <v>0</v>
      </c>
      <c r="D268" s="15">
        <v>489</v>
      </c>
      <c r="E268" s="14">
        <v>486</v>
      </c>
      <c r="F268" s="19">
        <f t="shared" si="4"/>
        <v>975</v>
      </c>
      <c r="G268" s="7">
        <v>12.7</v>
      </c>
      <c r="H268" s="7" t="s">
        <v>16</v>
      </c>
      <c r="I268" s="7">
        <f>VLOOKUP(H268,Sheet4!A:B,2,0)</f>
        <v>10</v>
      </c>
      <c r="J268" s="7">
        <v>0</v>
      </c>
      <c r="K268" s="7">
        <v>6.14</v>
      </c>
      <c r="L268" s="7">
        <v>9.36</v>
      </c>
      <c r="M268" s="7" t="s">
        <v>16</v>
      </c>
      <c r="N268" s="7">
        <f>VLOOKUP(M268,Sheet4!A:B,2,0)</f>
        <v>10</v>
      </c>
      <c r="O268" s="7">
        <v>0</v>
      </c>
      <c r="P268" s="7">
        <v>1.7</v>
      </c>
    </row>
    <row r="269" ht="15.3" spans="1:16">
      <c r="A269" s="12">
        <v>10.23</v>
      </c>
      <c r="B269" s="18">
        <v>8</v>
      </c>
      <c r="C269" s="14">
        <v>0</v>
      </c>
      <c r="D269" s="15">
        <v>1042</v>
      </c>
      <c r="E269" s="14">
        <v>941</v>
      </c>
      <c r="F269" s="19">
        <f t="shared" si="4"/>
        <v>1983</v>
      </c>
      <c r="G269" s="7">
        <v>12.95</v>
      </c>
      <c r="H269" s="7" t="s">
        <v>16</v>
      </c>
      <c r="I269" s="7">
        <f>VLOOKUP(H269,Sheet4!A:B,2,0)</f>
        <v>10</v>
      </c>
      <c r="J269" s="7">
        <v>0</v>
      </c>
      <c r="K269" s="7">
        <v>6.43</v>
      </c>
      <c r="L269" s="7">
        <v>9.51</v>
      </c>
      <c r="M269" s="7" t="s">
        <v>16</v>
      </c>
      <c r="N269" s="7">
        <f>VLOOKUP(M269,Sheet4!A:B,2,0)</f>
        <v>10</v>
      </c>
      <c r="O269" s="7">
        <v>0</v>
      </c>
      <c r="P269" s="7">
        <v>1.82</v>
      </c>
    </row>
    <row r="270" ht="15.3" spans="1:16">
      <c r="A270" s="12">
        <v>10.23</v>
      </c>
      <c r="B270" s="18">
        <v>10</v>
      </c>
      <c r="C270" s="14">
        <v>0</v>
      </c>
      <c r="D270" s="15">
        <v>1139</v>
      </c>
      <c r="E270" s="14">
        <v>1233</v>
      </c>
      <c r="F270" s="19">
        <f t="shared" si="4"/>
        <v>2372</v>
      </c>
      <c r="G270" s="7">
        <v>13</v>
      </c>
      <c r="H270" s="7" t="s">
        <v>18</v>
      </c>
      <c r="I270" s="7">
        <f>VLOOKUP(H270,Sheet4!A:B,2,0)</f>
        <v>6</v>
      </c>
      <c r="J270" s="7">
        <v>0</v>
      </c>
      <c r="K270" s="7">
        <v>5.87</v>
      </c>
      <c r="L270" s="7">
        <v>11.81</v>
      </c>
      <c r="M270" s="7" t="s">
        <v>16</v>
      </c>
      <c r="N270" s="7">
        <f>VLOOKUP(M270,Sheet4!A:B,2,0)</f>
        <v>10</v>
      </c>
      <c r="O270" s="7">
        <v>0</v>
      </c>
      <c r="P270" s="7">
        <v>2.21</v>
      </c>
    </row>
    <row r="271" ht="15.3" spans="1:16">
      <c r="A271" s="12">
        <v>10.23</v>
      </c>
      <c r="B271" s="18">
        <v>12</v>
      </c>
      <c r="C271" s="14">
        <v>0</v>
      </c>
      <c r="D271" s="15">
        <v>1263</v>
      </c>
      <c r="E271" s="14">
        <v>1341</v>
      </c>
      <c r="F271" s="19">
        <f t="shared" si="4"/>
        <v>2604</v>
      </c>
      <c r="G271" s="7">
        <v>12.55</v>
      </c>
      <c r="H271" s="7" t="s">
        <v>18</v>
      </c>
      <c r="I271" s="7">
        <f>VLOOKUP(H271,Sheet4!A:B,2,0)</f>
        <v>6</v>
      </c>
      <c r="J271" s="7">
        <v>0</v>
      </c>
      <c r="K271" s="7">
        <v>7.78</v>
      </c>
      <c r="L271" s="7">
        <v>13.11</v>
      </c>
      <c r="M271" s="7" t="s">
        <v>16</v>
      </c>
      <c r="N271" s="7">
        <f>VLOOKUP(M271,Sheet4!A:B,2,0)</f>
        <v>10</v>
      </c>
      <c r="O271" s="7">
        <v>0</v>
      </c>
      <c r="P271" s="7">
        <v>2.51</v>
      </c>
    </row>
    <row r="272" ht="15.3" spans="1:16">
      <c r="A272" s="12">
        <v>10.23</v>
      </c>
      <c r="B272" s="18">
        <v>14</v>
      </c>
      <c r="C272" s="14">
        <v>0</v>
      </c>
      <c r="D272" s="15">
        <v>1300</v>
      </c>
      <c r="E272" s="14">
        <v>1403</v>
      </c>
      <c r="F272" s="19">
        <f t="shared" si="4"/>
        <v>2703</v>
      </c>
      <c r="G272" s="7">
        <v>12.3</v>
      </c>
      <c r="H272" s="7" t="s">
        <v>19</v>
      </c>
      <c r="I272" s="7">
        <f>VLOOKUP(H272,Sheet4!A:B,2,0)</f>
        <v>8</v>
      </c>
      <c r="J272" s="7">
        <v>0</v>
      </c>
      <c r="K272" s="7">
        <v>7.79</v>
      </c>
      <c r="L272" s="7">
        <v>14.71</v>
      </c>
      <c r="M272" s="7" t="s">
        <v>18</v>
      </c>
      <c r="N272" s="7">
        <f>VLOOKUP(M272,Sheet4!A:B,2,0)</f>
        <v>6</v>
      </c>
      <c r="O272" s="7">
        <v>0</v>
      </c>
      <c r="P272" s="7">
        <v>2.1</v>
      </c>
    </row>
    <row r="273" ht="15.3" spans="1:16">
      <c r="A273" s="12">
        <v>10.23</v>
      </c>
      <c r="B273" s="18">
        <v>16</v>
      </c>
      <c r="C273" s="14">
        <v>0</v>
      </c>
      <c r="D273" s="15">
        <v>1358</v>
      </c>
      <c r="E273" s="14">
        <v>1442</v>
      </c>
      <c r="F273" s="19">
        <f t="shared" si="4"/>
        <v>2800</v>
      </c>
      <c r="G273" s="7">
        <v>12.45</v>
      </c>
      <c r="H273" s="7" t="s">
        <v>16</v>
      </c>
      <c r="I273" s="7">
        <f>VLOOKUP(H273,Sheet4!A:B,2,0)</f>
        <v>10</v>
      </c>
      <c r="J273" s="7">
        <v>0</v>
      </c>
      <c r="K273" s="7">
        <v>6.04</v>
      </c>
      <c r="L273" s="7">
        <v>14.21</v>
      </c>
      <c r="M273" s="7" t="s">
        <v>18</v>
      </c>
      <c r="N273" s="7">
        <f>VLOOKUP(M273,Sheet4!A:B,2,0)</f>
        <v>6</v>
      </c>
      <c r="O273" s="7">
        <v>0</v>
      </c>
      <c r="P273" s="7">
        <v>1.86</v>
      </c>
    </row>
    <row r="274" ht="15.3" spans="1:16">
      <c r="A274" s="12">
        <v>10.23</v>
      </c>
      <c r="B274" s="18">
        <v>18</v>
      </c>
      <c r="C274" s="14">
        <v>0</v>
      </c>
      <c r="D274" s="15">
        <v>1326</v>
      </c>
      <c r="E274" s="14">
        <v>1529</v>
      </c>
      <c r="F274" s="19">
        <f t="shared" si="4"/>
        <v>2855</v>
      </c>
      <c r="G274" s="7">
        <v>12.55</v>
      </c>
      <c r="H274" s="7" t="s">
        <v>16</v>
      </c>
      <c r="I274" s="7">
        <f>VLOOKUP(H274,Sheet4!A:B,2,0)</f>
        <v>10</v>
      </c>
      <c r="J274" s="7">
        <v>0</v>
      </c>
      <c r="K274" s="7">
        <v>5.32</v>
      </c>
      <c r="L274" s="7">
        <v>12.86</v>
      </c>
      <c r="M274" s="7" t="s">
        <v>16</v>
      </c>
      <c r="N274" s="7">
        <f>VLOOKUP(M274,Sheet4!A:B,2,0)</f>
        <v>10</v>
      </c>
      <c r="O274" s="7">
        <v>0</v>
      </c>
      <c r="P274" s="7">
        <v>1.96</v>
      </c>
    </row>
    <row r="275" ht="15.3" spans="1:16">
      <c r="A275" s="12">
        <v>10.23</v>
      </c>
      <c r="B275" s="18">
        <v>20</v>
      </c>
      <c r="C275" s="14">
        <v>0</v>
      </c>
      <c r="D275" s="15">
        <v>1047</v>
      </c>
      <c r="E275" s="14">
        <v>1283</v>
      </c>
      <c r="F275" s="19">
        <f t="shared" si="4"/>
        <v>2330</v>
      </c>
      <c r="G275" s="7">
        <v>12.75</v>
      </c>
      <c r="H275" s="7" t="s">
        <v>16</v>
      </c>
      <c r="I275" s="7">
        <f>VLOOKUP(H275,Sheet4!A:B,2,0)</f>
        <v>10</v>
      </c>
      <c r="J275" s="7">
        <v>0</v>
      </c>
      <c r="K275" s="7">
        <v>4.84</v>
      </c>
      <c r="L275" s="7">
        <v>10.16</v>
      </c>
      <c r="M275" s="7" t="s">
        <v>16</v>
      </c>
      <c r="N275" s="7">
        <f>VLOOKUP(M275,Sheet4!A:B,2,0)</f>
        <v>10</v>
      </c>
      <c r="O275" s="7">
        <v>0</v>
      </c>
      <c r="P275" s="7">
        <v>1.79</v>
      </c>
    </row>
    <row r="276" ht="15.3" spans="1:16">
      <c r="A276" s="12">
        <v>10.23</v>
      </c>
      <c r="B276" s="18">
        <v>22</v>
      </c>
      <c r="C276" s="14">
        <v>0</v>
      </c>
      <c r="D276" s="15">
        <v>1082</v>
      </c>
      <c r="E276" s="14">
        <v>1192</v>
      </c>
      <c r="F276" s="19">
        <f t="shared" si="4"/>
        <v>2274</v>
      </c>
      <c r="G276" s="7">
        <v>12.95</v>
      </c>
      <c r="H276" s="7" t="s">
        <v>16</v>
      </c>
      <c r="I276" s="7">
        <f>VLOOKUP(H276,Sheet4!A:B,2,0)</f>
        <v>10</v>
      </c>
      <c r="J276" s="7">
        <v>0</v>
      </c>
      <c r="K276" s="7">
        <v>4.96</v>
      </c>
      <c r="L276" s="7">
        <v>9.26</v>
      </c>
      <c r="M276" s="7" t="s">
        <v>16</v>
      </c>
      <c r="N276" s="7">
        <f>VLOOKUP(M276,Sheet4!A:B,2,0)</f>
        <v>10</v>
      </c>
      <c r="O276" s="7">
        <v>0</v>
      </c>
      <c r="P276" s="7">
        <v>1.14</v>
      </c>
    </row>
    <row r="277" ht="15.3" spans="1:16">
      <c r="A277" s="12">
        <v>10.23</v>
      </c>
      <c r="B277" s="20">
        <v>24</v>
      </c>
      <c r="C277" s="14">
        <v>0</v>
      </c>
      <c r="D277" s="15">
        <v>914</v>
      </c>
      <c r="E277" s="14">
        <v>716</v>
      </c>
      <c r="F277" s="19">
        <f t="shared" si="4"/>
        <v>1630</v>
      </c>
      <c r="G277" s="7">
        <v>13.05</v>
      </c>
      <c r="H277" s="7" t="s">
        <v>16</v>
      </c>
      <c r="I277" s="7">
        <f>VLOOKUP(H277,Sheet4!A:B,2,0)</f>
        <v>10</v>
      </c>
      <c r="J277" s="7">
        <v>0</v>
      </c>
      <c r="K277" s="7">
        <v>4.45</v>
      </c>
      <c r="L277" s="7">
        <v>8.81</v>
      </c>
      <c r="M277" s="7" t="s">
        <v>16</v>
      </c>
      <c r="N277" s="7">
        <f>VLOOKUP(M277,Sheet4!A:B,2,0)</f>
        <v>10</v>
      </c>
      <c r="O277" s="7">
        <v>0</v>
      </c>
      <c r="P277" s="7">
        <v>1.54</v>
      </c>
    </row>
    <row r="278" ht="15.3" spans="1:16">
      <c r="A278" s="12">
        <v>10.24</v>
      </c>
      <c r="B278" s="18">
        <v>2</v>
      </c>
      <c r="C278" s="14">
        <v>0</v>
      </c>
      <c r="D278" s="15">
        <v>645</v>
      </c>
      <c r="E278" s="14">
        <v>444</v>
      </c>
      <c r="F278" s="19">
        <f t="shared" si="4"/>
        <v>1089</v>
      </c>
      <c r="G278" s="7">
        <v>13.05</v>
      </c>
      <c r="H278" s="7" t="s">
        <v>16</v>
      </c>
      <c r="I278" s="7">
        <f>VLOOKUP(H278,Sheet4!A:B,2,0)</f>
        <v>10</v>
      </c>
      <c r="J278" s="7">
        <v>0</v>
      </c>
      <c r="K278" s="7">
        <v>2.8</v>
      </c>
      <c r="L278" s="7">
        <v>9.06</v>
      </c>
      <c r="M278" s="7" t="s">
        <v>18</v>
      </c>
      <c r="N278" s="7">
        <f>VLOOKUP(M278,Sheet4!A:B,2,0)</f>
        <v>6</v>
      </c>
      <c r="O278" s="7">
        <v>0</v>
      </c>
      <c r="P278" s="7">
        <v>1</v>
      </c>
    </row>
    <row r="279" ht="15.3" spans="1:16">
      <c r="A279" s="12">
        <v>10.24</v>
      </c>
      <c r="B279" s="18">
        <v>4</v>
      </c>
      <c r="C279" s="14">
        <v>0</v>
      </c>
      <c r="D279" s="15">
        <v>423</v>
      </c>
      <c r="E279" s="14">
        <v>339</v>
      </c>
      <c r="F279" s="19">
        <f t="shared" si="4"/>
        <v>762</v>
      </c>
      <c r="G279" s="7">
        <v>11.9</v>
      </c>
      <c r="H279" s="7" t="s">
        <v>16</v>
      </c>
      <c r="I279" s="7">
        <f>VLOOKUP(H279,Sheet4!A:B,2,0)</f>
        <v>10</v>
      </c>
      <c r="J279" s="7">
        <v>0</v>
      </c>
      <c r="K279" s="7">
        <v>4.56</v>
      </c>
      <c r="L279" s="7">
        <v>9.16</v>
      </c>
      <c r="M279" s="7" t="s">
        <v>16</v>
      </c>
      <c r="N279" s="7">
        <f>VLOOKUP(M279,Sheet4!A:B,2,0)</f>
        <v>10</v>
      </c>
      <c r="O279" s="7">
        <v>0</v>
      </c>
      <c r="P279" s="7">
        <v>1.69</v>
      </c>
    </row>
    <row r="280" ht="15.3" spans="1:16">
      <c r="A280" s="12">
        <v>10.24</v>
      </c>
      <c r="B280" s="18">
        <v>6</v>
      </c>
      <c r="C280" s="14">
        <v>0</v>
      </c>
      <c r="D280" s="15">
        <v>541</v>
      </c>
      <c r="E280" s="14">
        <v>515</v>
      </c>
      <c r="F280" s="19">
        <f t="shared" si="4"/>
        <v>1056</v>
      </c>
      <c r="G280" s="7">
        <v>12.35</v>
      </c>
      <c r="H280" s="7" t="s">
        <v>16</v>
      </c>
      <c r="I280" s="7">
        <f>VLOOKUP(H280,Sheet4!A:B,2,0)</f>
        <v>10</v>
      </c>
      <c r="J280" s="7">
        <v>0</v>
      </c>
      <c r="K280" s="7">
        <v>5.02</v>
      </c>
      <c r="L280" s="7">
        <v>8.96</v>
      </c>
      <c r="M280" s="7" t="s">
        <v>16</v>
      </c>
      <c r="N280" s="7">
        <f>VLOOKUP(M280,Sheet4!A:B,2,0)</f>
        <v>10</v>
      </c>
      <c r="O280" s="7">
        <v>0</v>
      </c>
      <c r="P280" s="7">
        <v>1.39</v>
      </c>
    </row>
    <row r="281" ht="15.3" spans="1:16">
      <c r="A281" s="12">
        <v>10.24</v>
      </c>
      <c r="B281" s="18">
        <v>8</v>
      </c>
      <c r="C281" s="14">
        <v>0</v>
      </c>
      <c r="D281" s="15">
        <v>794</v>
      </c>
      <c r="E281" s="14">
        <v>989</v>
      </c>
      <c r="F281" s="19">
        <f t="shared" si="4"/>
        <v>1783</v>
      </c>
      <c r="G281" s="7">
        <v>12.55</v>
      </c>
      <c r="H281" s="7" t="s">
        <v>16</v>
      </c>
      <c r="I281" s="7">
        <f>VLOOKUP(H281,Sheet4!A:B,2,0)</f>
        <v>10</v>
      </c>
      <c r="J281" s="7">
        <v>0</v>
      </c>
      <c r="K281" s="7">
        <v>4.05</v>
      </c>
      <c r="L281" s="7">
        <v>9.11</v>
      </c>
      <c r="M281" s="7" t="s">
        <v>16</v>
      </c>
      <c r="N281" s="7">
        <f>VLOOKUP(M281,Sheet4!A:B,2,0)</f>
        <v>10</v>
      </c>
      <c r="O281" s="7">
        <v>0</v>
      </c>
      <c r="P281" s="7">
        <v>1.49</v>
      </c>
    </row>
    <row r="282" ht="15.3" spans="1:16">
      <c r="A282" s="12">
        <v>10.24</v>
      </c>
      <c r="B282" s="18">
        <v>10</v>
      </c>
      <c r="C282" s="14">
        <v>0</v>
      </c>
      <c r="D282" s="15">
        <v>927</v>
      </c>
      <c r="E282" s="14">
        <v>1241</v>
      </c>
      <c r="F282" s="19">
        <f t="shared" si="4"/>
        <v>2168</v>
      </c>
      <c r="G282" s="7">
        <v>12.8</v>
      </c>
      <c r="H282" s="7" t="s">
        <v>16</v>
      </c>
      <c r="I282" s="7">
        <f>VLOOKUP(H282,Sheet4!A:B,2,0)</f>
        <v>10</v>
      </c>
      <c r="J282" s="7">
        <v>0</v>
      </c>
      <c r="K282" s="7">
        <v>2.24</v>
      </c>
      <c r="L282" s="7">
        <v>12.21</v>
      </c>
      <c r="M282" s="7" t="s">
        <v>16</v>
      </c>
      <c r="N282" s="7">
        <f>VLOOKUP(M282,Sheet4!A:B,2,0)</f>
        <v>10</v>
      </c>
      <c r="O282" s="7">
        <v>0</v>
      </c>
      <c r="P282" s="7">
        <v>0.61</v>
      </c>
    </row>
    <row r="283" ht="15.3" spans="1:16">
      <c r="A283" s="12">
        <v>10.24</v>
      </c>
      <c r="B283" s="18">
        <v>12</v>
      </c>
      <c r="C283" s="14">
        <v>0</v>
      </c>
      <c r="D283" s="15">
        <v>951</v>
      </c>
      <c r="E283" s="14">
        <v>1394</v>
      </c>
      <c r="F283" s="19">
        <f t="shared" si="4"/>
        <v>2345</v>
      </c>
      <c r="G283" s="7">
        <v>12.95</v>
      </c>
      <c r="H283" s="7" t="s">
        <v>18</v>
      </c>
      <c r="I283" s="7">
        <f>VLOOKUP(H283,Sheet4!A:B,2,0)</f>
        <v>6</v>
      </c>
      <c r="J283" s="7">
        <v>0</v>
      </c>
      <c r="K283" s="7">
        <v>1.11</v>
      </c>
      <c r="L283" s="7">
        <v>14.71</v>
      </c>
      <c r="M283" s="7" t="s">
        <v>16</v>
      </c>
      <c r="N283" s="7">
        <f>VLOOKUP(M283,Sheet4!A:B,2,0)</f>
        <v>10</v>
      </c>
      <c r="O283" s="7">
        <v>0</v>
      </c>
      <c r="P283" s="7">
        <v>1.42</v>
      </c>
    </row>
    <row r="284" ht="15.3" spans="1:16">
      <c r="A284" s="12">
        <v>10.24</v>
      </c>
      <c r="B284" s="18">
        <v>14</v>
      </c>
      <c r="C284" s="14">
        <v>0</v>
      </c>
      <c r="D284" s="15">
        <v>1023</v>
      </c>
      <c r="E284" s="14">
        <v>1321</v>
      </c>
      <c r="F284" s="19">
        <f t="shared" si="4"/>
        <v>2344</v>
      </c>
      <c r="G284" s="7">
        <v>13.2</v>
      </c>
      <c r="H284" s="7" t="s">
        <v>18</v>
      </c>
      <c r="I284" s="7">
        <f>VLOOKUP(H284,Sheet4!A:B,2,0)</f>
        <v>6</v>
      </c>
      <c r="J284" s="7">
        <v>0</v>
      </c>
      <c r="K284" s="7">
        <v>1.21</v>
      </c>
      <c r="L284" s="7">
        <v>15.16</v>
      </c>
      <c r="M284" s="7" t="s">
        <v>18</v>
      </c>
      <c r="N284" s="7">
        <f>VLOOKUP(M284,Sheet4!A:B,2,0)</f>
        <v>6</v>
      </c>
      <c r="O284" s="7">
        <v>0</v>
      </c>
      <c r="P284" s="7">
        <v>1</v>
      </c>
    </row>
    <row r="285" ht="15.3" spans="1:16">
      <c r="A285" s="12">
        <v>10.24</v>
      </c>
      <c r="B285" s="18">
        <v>16</v>
      </c>
      <c r="C285" s="14">
        <v>0</v>
      </c>
      <c r="D285" s="15">
        <v>1248</v>
      </c>
      <c r="E285" s="14">
        <v>1552</v>
      </c>
      <c r="F285" s="19">
        <f t="shared" si="4"/>
        <v>2800</v>
      </c>
      <c r="G285" s="7">
        <v>13.8</v>
      </c>
      <c r="H285" s="7" t="s">
        <v>18</v>
      </c>
      <c r="I285" s="7">
        <f>VLOOKUP(H285,Sheet4!A:B,2,0)</f>
        <v>6</v>
      </c>
      <c r="J285" s="7">
        <v>0</v>
      </c>
      <c r="K285" s="7">
        <v>3.09</v>
      </c>
      <c r="L285" s="7">
        <v>15.36</v>
      </c>
      <c r="M285" s="7" t="s">
        <v>18</v>
      </c>
      <c r="N285" s="7">
        <f>VLOOKUP(M285,Sheet4!A:B,2,0)</f>
        <v>6</v>
      </c>
      <c r="O285" s="7">
        <v>0</v>
      </c>
      <c r="P285" s="7">
        <v>0.88</v>
      </c>
    </row>
    <row r="286" ht="15.3" spans="1:16">
      <c r="A286" s="12">
        <v>10.24</v>
      </c>
      <c r="B286" s="18">
        <v>18</v>
      </c>
      <c r="C286" s="14">
        <v>0</v>
      </c>
      <c r="D286" s="15">
        <v>1124</v>
      </c>
      <c r="E286" s="14">
        <v>1434</v>
      </c>
      <c r="F286" s="19">
        <f t="shared" si="4"/>
        <v>2558</v>
      </c>
      <c r="G286" s="7">
        <v>14.05</v>
      </c>
      <c r="H286" s="7" t="s">
        <v>18</v>
      </c>
      <c r="I286" s="7">
        <f>VLOOKUP(H286,Sheet4!A:B,2,0)</f>
        <v>6</v>
      </c>
      <c r="J286" s="7">
        <v>0</v>
      </c>
      <c r="K286" s="7">
        <v>4.79</v>
      </c>
      <c r="L286" s="7">
        <v>14.36</v>
      </c>
      <c r="M286" s="7" t="s">
        <v>19</v>
      </c>
      <c r="N286" s="7">
        <f>VLOOKUP(M286,Sheet4!A:B,2,0)</f>
        <v>8</v>
      </c>
      <c r="O286" s="7">
        <v>0</v>
      </c>
      <c r="P286" s="7">
        <v>0.11</v>
      </c>
    </row>
    <row r="287" ht="15.3" spans="1:16">
      <c r="A287" s="12">
        <v>10.24</v>
      </c>
      <c r="B287" s="18">
        <v>20</v>
      </c>
      <c r="C287" s="14">
        <v>0</v>
      </c>
      <c r="D287" s="15">
        <v>1319</v>
      </c>
      <c r="E287" s="14">
        <v>1398</v>
      </c>
      <c r="F287" s="19">
        <f t="shared" si="4"/>
        <v>2717</v>
      </c>
      <c r="G287" s="7">
        <v>14.05</v>
      </c>
      <c r="H287" s="7" t="s">
        <v>18</v>
      </c>
      <c r="I287" s="7">
        <f>VLOOKUP(H287,Sheet4!A:B,2,0)</f>
        <v>6</v>
      </c>
      <c r="J287" s="7">
        <v>0</v>
      </c>
      <c r="K287" s="7">
        <v>5.37</v>
      </c>
      <c r="L287" s="7">
        <v>11.76</v>
      </c>
      <c r="M287" s="7" t="s">
        <v>16</v>
      </c>
      <c r="N287" s="7">
        <f>VLOOKUP(M287,Sheet4!A:B,2,0)</f>
        <v>10</v>
      </c>
      <c r="O287" s="7">
        <v>0</v>
      </c>
      <c r="P287" s="7">
        <v>1.25</v>
      </c>
    </row>
    <row r="288" ht="15.3" spans="1:16">
      <c r="A288" s="12">
        <v>10.24</v>
      </c>
      <c r="B288" s="18">
        <v>22</v>
      </c>
      <c r="C288" s="14">
        <v>0</v>
      </c>
      <c r="D288" s="15">
        <v>1167</v>
      </c>
      <c r="E288" s="14">
        <v>1052</v>
      </c>
      <c r="F288" s="19">
        <f t="shared" si="4"/>
        <v>2219</v>
      </c>
      <c r="G288" s="7">
        <v>14.4</v>
      </c>
      <c r="H288" s="7" t="s">
        <v>16</v>
      </c>
      <c r="I288" s="7">
        <f>VLOOKUP(H288,Sheet4!A:B,2,0)</f>
        <v>10</v>
      </c>
      <c r="J288" s="7">
        <v>0</v>
      </c>
      <c r="K288" s="7">
        <v>5.26</v>
      </c>
      <c r="L288" s="7">
        <v>10.36</v>
      </c>
      <c r="M288" s="7" t="s">
        <v>16</v>
      </c>
      <c r="N288" s="7">
        <f>VLOOKUP(M288,Sheet4!A:B,2,0)</f>
        <v>10</v>
      </c>
      <c r="O288" s="7">
        <v>0</v>
      </c>
      <c r="P288" s="7">
        <v>1.69</v>
      </c>
    </row>
    <row r="289" ht="15.3" spans="1:16">
      <c r="A289" s="12">
        <v>10.24</v>
      </c>
      <c r="B289" s="20">
        <v>24</v>
      </c>
      <c r="C289" s="14">
        <v>0</v>
      </c>
      <c r="D289" s="15">
        <v>915</v>
      </c>
      <c r="E289" s="14">
        <v>760</v>
      </c>
      <c r="F289" s="19">
        <f t="shared" si="4"/>
        <v>1675</v>
      </c>
      <c r="G289" s="7">
        <v>14.5</v>
      </c>
      <c r="H289" s="7" t="s">
        <v>18</v>
      </c>
      <c r="I289" s="7">
        <f>VLOOKUP(H289,Sheet4!A:B,2,0)</f>
        <v>6</v>
      </c>
      <c r="J289" s="7">
        <v>0</v>
      </c>
      <c r="K289" s="7">
        <v>4.92</v>
      </c>
      <c r="L289" s="7">
        <v>9.61</v>
      </c>
      <c r="M289" s="7" t="s">
        <v>16</v>
      </c>
      <c r="N289" s="7">
        <f>VLOOKUP(M289,Sheet4!A:B,2,0)</f>
        <v>10</v>
      </c>
      <c r="O289" s="7">
        <v>0</v>
      </c>
      <c r="P289" s="7">
        <v>1.84</v>
      </c>
    </row>
    <row r="290" ht="15.3" spans="1:16">
      <c r="A290" s="12">
        <v>10.25</v>
      </c>
      <c r="B290" s="18">
        <v>2</v>
      </c>
      <c r="C290" s="14">
        <v>0</v>
      </c>
      <c r="D290" s="15">
        <v>669</v>
      </c>
      <c r="E290" s="14">
        <v>399</v>
      </c>
      <c r="F290" s="19">
        <f t="shared" si="4"/>
        <v>1068</v>
      </c>
      <c r="G290" s="7">
        <v>14.15</v>
      </c>
      <c r="H290" s="7" t="s">
        <v>18</v>
      </c>
      <c r="I290" s="7">
        <f>VLOOKUP(H290,Sheet4!A:B,2,0)</f>
        <v>6</v>
      </c>
      <c r="J290" s="7">
        <v>0</v>
      </c>
      <c r="K290" s="7">
        <v>4.81</v>
      </c>
      <c r="L290" s="7">
        <v>8.96</v>
      </c>
      <c r="M290" s="7" t="s">
        <v>16</v>
      </c>
      <c r="N290" s="7">
        <f>VLOOKUP(M290,Sheet4!A:B,2,0)</f>
        <v>10</v>
      </c>
      <c r="O290" s="7">
        <v>0</v>
      </c>
      <c r="P290" s="7">
        <v>1.67</v>
      </c>
    </row>
    <row r="291" ht="15.3" spans="1:16">
      <c r="A291" s="12">
        <v>10.25</v>
      </c>
      <c r="B291" s="18">
        <v>4</v>
      </c>
      <c r="C291" s="14">
        <v>0</v>
      </c>
      <c r="D291" s="15">
        <v>475</v>
      </c>
      <c r="E291" s="14">
        <v>345</v>
      </c>
      <c r="F291" s="19">
        <f t="shared" si="4"/>
        <v>820</v>
      </c>
      <c r="G291" s="7">
        <v>14</v>
      </c>
      <c r="H291" s="7" t="s">
        <v>16</v>
      </c>
      <c r="I291" s="7">
        <f>VLOOKUP(H291,Sheet4!A:B,2,0)</f>
        <v>10</v>
      </c>
      <c r="J291" s="7">
        <v>0</v>
      </c>
      <c r="K291" s="7">
        <v>4.47</v>
      </c>
      <c r="L291" s="7">
        <v>8.91</v>
      </c>
      <c r="M291" s="7" t="s">
        <v>16</v>
      </c>
      <c r="N291" s="7">
        <f>VLOOKUP(M291,Sheet4!A:B,2,0)</f>
        <v>10</v>
      </c>
      <c r="O291" s="7">
        <v>0</v>
      </c>
      <c r="P291" s="7">
        <v>1.94</v>
      </c>
    </row>
    <row r="292" ht="15.3" spans="1:16">
      <c r="A292" s="12">
        <v>10.25</v>
      </c>
      <c r="B292" s="18">
        <v>6</v>
      </c>
      <c r="C292" s="14">
        <v>0</v>
      </c>
      <c r="D292" s="15">
        <v>557</v>
      </c>
      <c r="E292" s="14">
        <v>552</v>
      </c>
      <c r="F292" s="19">
        <f t="shared" si="4"/>
        <v>1109</v>
      </c>
      <c r="G292" s="7">
        <v>14</v>
      </c>
      <c r="H292" s="7" t="s">
        <v>16</v>
      </c>
      <c r="I292" s="7">
        <f>VLOOKUP(H292,Sheet4!A:B,2,0)</f>
        <v>10</v>
      </c>
      <c r="J292" s="7">
        <v>0</v>
      </c>
      <c r="K292" s="7">
        <v>4.15</v>
      </c>
      <c r="L292" s="7">
        <v>8.66</v>
      </c>
      <c r="M292" s="7" t="s">
        <v>16</v>
      </c>
      <c r="N292" s="7">
        <f>VLOOKUP(M292,Sheet4!A:B,2,0)</f>
        <v>10</v>
      </c>
      <c r="O292" s="7">
        <v>0</v>
      </c>
      <c r="P292" s="7">
        <v>1.19</v>
      </c>
    </row>
    <row r="293" ht="15.3" spans="1:16">
      <c r="A293" s="12">
        <v>10.25</v>
      </c>
      <c r="B293" s="18">
        <v>8</v>
      </c>
      <c r="C293" s="14">
        <v>0</v>
      </c>
      <c r="D293" s="15">
        <v>1053</v>
      </c>
      <c r="E293" s="14">
        <v>1109</v>
      </c>
      <c r="F293" s="19">
        <f t="shared" si="4"/>
        <v>2162</v>
      </c>
      <c r="G293" s="7">
        <v>13.9</v>
      </c>
      <c r="H293" s="7" t="s">
        <v>16</v>
      </c>
      <c r="I293" s="7">
        <f>VLOOKUP(H293,Sheet4!A:B,2,0)</f>
        <v>10</v>
      </c>
      <c r="J293" s="7">
        <v>0</v>
      </c>
      <c r="K293" s="7">
        <v>4.22</v>
      </c>
      <c r="L293" s="7">
        <v>8.61</v>
      </c>
      <c r="M293" s="7" t="s">
        <v>16</v>
      </c>
      <c r="N293" s="7">
        <f>VLOOKUP(M293,Sheet4!A:B,2,0)</f>
        <v>10</v>
      </c>
      <c r="O293" s="7">
        <v>0</v>
      </c>
      <c r="P293" s="7">
        <v>1.59</v>
      </c>
    </row>
    <row r="294" ht="15.3" spans="1:16">
      <c r="A294" s="12">
        <v>10.25</v>
      </c>
      <c r="B294" s="18">
        <v>10</v>
      </c>
      <c r="C294" s="14">
        <v>0</v>
      </c>
      <c r="D294" s="15">
        <v>1351</v>
      </c>
      <c r="E294" s="14">
        <v>1395</v>
      </c>
      <c r="F294" s="19">
        <f t="shared" si="4"/>
        <v>2746</v>
      </c>
      <c r="G294" s="7">
        <v>14.25</v>
      </c>
      <c r="H294" s="7" t="s">
        <v>18</v>
      </c>
      <c r="I294" s="7">
        <f>VLOOKUP(H294,Sheet4!A:B,2,0)</f>
        <v>6</v>
      </c>
      <c r="J294" s="7">
        <v>0</v>
      </c>
      <c r="K294" s="7">
        <v>5.03</v>
      </c>
      <c r="L294" s="7">
        <v>11.91</v>
      </c>
      <c r="M294" s="7" t="s">
        <v>16</v>
      </c>
      <c r="N294" s="7">
        <f>VLOOKUP(M294,Sheet4!A:B,2,0)</f>
        <v>10</v>
      </c>
      <c r="O294" s="7">
        <v>0</v>
      </c>
      <c r="P294" s="7">
        <v>0.85</v>
      </c>
    </row>
    <row r="295" ht="15.3" spans="1:16">
      <c r="A295" s="12">
        <v>10.25</v>
      </c>
      <c r="B295" s="18">
        <v>12</v>
      </c>
      <c r="C295" s="14">
        <v>0</v>
      </c>
      <c r="D295" s="15">
        <v>1495</v>
      </c>
      <c r="E295" s="14">
        <v>1468</v>
      </c>
      <c r="F295" s="19">
        <f t="shared" si="4"/>
        <v>2963</v>
      </c>
      <c r="G295" s="7">
        <v>14.3</v>
      </c>
      <c r="H295" s="7" t="s">
        <v>18</v>
      </c>
      <c r="I295" s="7">
        <f>VLOOKUP(H295,Sheet4!A:B,2,0)</f>
        <v>6</v>
      </c>
      <c r="J295" s="7">
        <v>0</v>
      </c>
      <c r="K295" s="7">
        <v>4.1</v>
      </c>
      <c r="L295" s="7">
        <v>15.11</v>
      </c>
      <c r="M295" s="7" t="s">
        <v>16</v>
      </c>
      <c r="N295" s="7">
        <f>VLOOKUP(M295,Sheet4!A:B,2,0)</f>
        <v>10</v>
      </c>
      <c r="O295" s="7">
        <v>0</v>
      </c>
      <c r="P295" s="7">
        <v>1.88</v>
      </c>
    </row>
    <row r="296" ht="15.3" spans="1:16">
      <c r="A296" s="12">
        <v>10.25</v>
      </c>
      <c r="B296" s="18">
        <v>14</v>
      </c>
      <c r="C296" s="14">
        <v>0</v>
      </c>
      <c r="D296" s="15">
        <v>1354</v>
      </c>
      <c r="E296" s="14">
        <v>1417</v>
      </c>
      <c r="F296" s="19">
        <f t="shared" si="4"/>
        <v>2771</v>
      </c>
      <c r="G296" s="7">
        <v>14.6</v>
      </c>
      <c r="H296" s="7" t="s">
        <v>16</v>
      </c>
      <c r="I296" s="7">
        <f>VLOOKUP(H296,Sheet4!A:B,2,0)</f>
        <v>10</v>
      </c>
      <c r="J296" s="7">
        <v>0</v>
      </c>
      <c r="K296" s="7">
        <v>4.52</v>
      </c>
      <c r="L296" s="7">
        <v>16.41</v>
      </c>
      <c r="M296" s="7" t="s">
        <v>16</v>
      </c>
      <c r="N296" s="7">
        <f>VLOOKUP(M296,Sheet4!A:B,2,0)</f>
        <v>10</v>
      </c>
      <c r="O296" s="7">
        <v>0</v>
      </c>
      <c r="P296" s="7">
        <v>2.09</v>
      </c>
    </row>
    <row r="297" ht="15.3" spans="1:16">
      <c r="A297" s="12">
        <v>10.25</v>
      </c>
      <c r="B297" s="18">
        <v>16</v>
      </c>
      <c r="C297" s="14">
        <v>0</v>
      </c>
      <c r="D297" s="15">
        <v>1449</v>
      </c>
      <c r="E297" s="14">
        <v>1538</v>
      </c>
      <c r="F297" s="19">
        <f t="shared" si="4"/>
        <v>2987</v>
      </c>
      <c r="G297" s="7">
        <v>14.9</v>
      </c>
      <c r="H297" s="7" t="s">
        <v>16</v>
      </c>
      <c r="I297" s="7">
        <f>VLOOKUP(H297,Sheet4!A:B,2,0)</f>
        <v>10</v>
      </c>
      <c r="J297" s="7">
        <v>0</v>
      </c>
      <c r="K297" s="7">
        <v>5.54</v>
      </c>
      <c r="L297" s="7">
        <v>16.56</v>
      </c>
      <c r="M297" s="7" t="s">
        <v>19</v>
      </c>
      <c r="N297" s="7">
        <f>VLOOKUP(M297,Sheet4!A:B,2,0)</f>
        <v>8</v>
      </c>
      <c r="O297" s="7">
        <v>0</v>
      </c>
      <c r="P297" s="7">
        <v>2.44</v>
      </c>
    </row>
    <row r="298" ht="15.3" spans="1:16">
      <c r="A298" s="12">
        <v>10.25</v>
      </c>
      <c r="B298" s="18">
        <v>18</v>
      </c>
      <c r="C298" s="14">
        <v>0</v>
      </c>
      <c r="D298" s="15">
        <v>1279</v>
      </c>
      <c r="E298" s="14">
        <v>1587</v>
      </c>
      <c r="F298" s="19">
        <f t="shared" si="4"/>
        <v>2866</v>
      </c>
      <c r="G298" s="7">
        <v>15.1</v>
      </c>
      <c r="H298" s="7" t="s">
        <v>16</v>
      </c>
      <c r="I298" s="7">
        <f>VLOOKUP(H298,Sheet4!A:B,2,0)</f>
        <v>10</v>
      </c>
      <c r="J298" s="7">
        <v>0</v>
      </c>
      <c r="K298" s="7">
        <v>5.59</v>
      </c>
      <c r="L298" s="7">
        <v>15.01</v>
      </c>
      <c r="M298" s="7" t="s">
        <v>19</v>
      </c>
      <c r="N298" s="7">
        <f>VLOOKUP(M298,Sheet4!A:B,2,0)</f>
        <v>8</v>
      </c>
      <c r="O298" s="7">
        <v>0</v>
      </c>
      <c r="P298" s="7">
        <v>2.51</v>
      </c>
    </row>
    <row r="299" ht="15.3" spans="1:16">
      <c r="A299" s="12">
        <v>10.25</v>
      </c>
      <c r="B299" s="18">
        <v>20</v>
      </c>
      <c r="C299" s="14">
        <v>0</v>
      </c>
      <c r="D299" s="15">
        <v>1205</v>
      </c>
      <c r="E299" s="14">
        <v>1358</v>
      </c>
      <c r="F299" s="19">
        <f t="shared" si="4"/>
        <v>2563</v>
      </c>
      <c r="G299" s="7">
        <v>15.55</v>
      </c>
      <c r="H299" s="7" t="s">
        <v>16</v>
      </c>
      <c r="I299" s="7">
        <f>VLOOKUP(H299,Sheet4!A:B,2,0)</f>
        <v>10</v>
      </c>
      <c r="J299" s="7">
        <v>0</v>
      </c>
      <c r="K299" s="7">
        <v>5.66</v>
      </c>
      <c r="L299" s="7">
        <v>12.81</v>
      </c>
      <c r="M299" s="7" t="s">
        <v>16</v>
      </c>
      <c r="N299" s="7">
        <f>VLOOKUP(M299,Sheet4!A:B,2,0)</f>
        <v>10</v>
      </c>
      <c r="O299" s="7">
        <v>0</v>
      </c>
      <c r="P299" s="7">
        <v>3.4</v>
      </c>
    </row>
    <row r="300" ht="15.3" spans="1:16">
      <c r="A300" s="12">
        <v>10.25</v>
      </c>
      <c r="B300" s="18">
        <v>22</v>
      </c>
      <c r="C300" s="14">
        <v>0</v>
      </c>
      <c r="D300" s="15">
        <v>1155</v>
      </c>
      <c r="E300" s="14">
        <v>1043</v>
      </c>
      <c r="F300" s="19">
        <f t="shared" si="4"/>
        <v>2198</v>
      </c>
      <c r="G300" s="7">
        <v>15.9</v>
      </c>
      <c r="H300" s="7" t="s">
        <v>16</v>
      </c>
      <c r="I300" s="7">
        <f>VLOOKUP(H300,Sheet4!A:B,2,0)</f>
        <v>10</v>
      </c>
      <c r="J300" s="7">
        <v>0</v>
      </c>
      <c r="K300" s="7">
        <v>5.96</v>
      </c>
      <c r="L300" s="7">
        <v>12.26</v>
      </c>
      <c r="M300" s="7" t="s">
        <v>16</v>
      </c>
      <c r="N300" s="7">
        <f>VLOOKUP(M300,Sheet4!A:B,2,0)</f>
        <v>10</v>
      </c>
      <c r="O300" s="7">
        <v>0</v>
      </c>
      <c r="P300" s="7">
        <v>3.52</v>
      </c>
    </row>
    <row r="301" ht="15.3" spans="1:16">
      <c r="A301" s="12">
        <v>10.25</v>
      </c>
      <c r="B301" s="20">
        <v>24</v>
      </c>
      <c r="C301" s="14">
        <v>0</v>
      </c>
      <c r="D301" s="15">
        <v>871</v>
      </c>
      <c r="E301" s="14">
        <v>765</v>
      </c>
      <c r="F301" s="19">
        <f t="shared" si="4"/>
        <v>1636</v>
      </c>
      <c r="G301" s="7">
        <v>16.15</v>
      </c>
      <c r="H301" s="7" t="s">
        <v>16</v>
      </c>
      <c r="I301" s="7">
        <f>VLOOKUP(H301,Sheet4!A:B,2,0)</f>
        <v>10</v>
      </c>
      <c r="J301" s="7">
        <v>0</v>
      </c>
      <c r="K301" s="7">
        <v>6.4</v>
      </c>
      <c r="L301" s="7">
        <v>11.31</v>
      </c>
      <c r="M301" s="7" t="s">
        <v>16</v>
      </c>
      <c r="N301" s="7">
        <f>VLOOKUP(M301,Sheet4!A:B,2,0)</f>
        <v>10</v>
      </c>
      <c r="O301" s="7">
        <v>0</v>
      </c>
      <c r="P301" s="7">
        <v>3.09</v>
      </c>
    </row>
    <row r="302" ht="15.3" spans="1:16">
      <c r="A302" s="12">
        <v>10.26</v>
      </c>
      <c r="B302" s="18">
        <v>2</v>
      </c>
      <c r="C302" s="14">
        <v>0</v>
      </c>
      <c r="D302" s="15">
        <v>611</v>
      </c>
      <c r="E302" s="14">
        <v>396</v>
      </c>
      <c r="F302" s="19">
        <f t="shared" si="4"/>
        <v>1007</v>
      </c>
      <c r="G302" s="7">
        <v>15.75</v>
      </c>
      <c r="H302" s="7" t="s">
        <v>16</v>
      </c>
      <c r="I302" s="7">
        <f>VLOOKUP(H302,Sheet4!A:B,2,0)</f>
        <v>10</v>
      </c>
      <c r="J302" s="7">
        <v>0</v>
      </c>
      <c r="K302" s="7">
        <v>6.82</v>
      </c>
      <c r="L302" s="7">
        <v>10.61</v>
      </c>
      <c r="M302" s="7" t="s">
        <v>16</v>
      </c>
      <c r="N302" s="7">
        <f>VLOOKUP(M302,Sheet4!A:B,2,0)</f>
        <v>10</v>
      </c>
      <c r="O302" s="7">
        <v>0</v>
      </c>
      <c r="P302" s="7">
        <v>3.23</v>
      </c>
    </row>
    <row r="303" ht="15.3" spans="1:16">
      <c r="A303" s="12">
        <v>10.26</v>
      </c>
      <c r="B303" s="18">
        <v>4</v>
      </c>
      <c r="C303" s="14">
        <v>0</v>
      </c>
      <c r="D303" s="15">
        <v>449</v>
      </c>
      <c r="E303" s="14">
        <v>304</v>
      </c>
      <c r="F303" s="19">
        <f t="shared" si="4"/>
        <v>753</v>
      </c>
      <c r="G303" s="7">
        <v>14.35</v>
      </c>
      <c r="H303" s="7" t="s">
        <v>16</v>
      </c>
      <c r="I303" s="7">
        <f>VLOOKUP(H303,Sheet4!A:B,2,0)</f>
        <v>10</v>
      </c>
      <c r="J303" s="7">
        <v>0</v>
      </c>
      <c r="K303" s="7">
        <v>7.99</v>
      </c>
      <c r="L303" s="7">
        <v>9.96</v>
      </c>
      <c r="M303" s="7" t="s">
        <v>16</v>
      </c>
      <c r="N303" s="7">
        <f>VLOOKUP(M303,Sheet4!A:B,2,0)</f>
        <v>10</v>
      </c>
      <c r="O303" s="7">
        <v>0</v>
      </c>
      <c r="P303" s="7">
        <v>3.28</v>
      </c>
    </row>
    <row r="304" ht="15.3" spans="1:16">
      <c r="A304" s="12">
        <v>10.26</v>
      </c>
      <c r="B304" s="18">
        <v>6</v>
      </c>
      <c r="C304" s="14">
        <v>0</v>
      </c>
      <c r="D304" s="15">
        <v>521</v>
      </c>
      <c r="E304" s="14">
        <v>457</v>
      </c>
      <c r="F304" s="19">
        <f t="shared" si="4"/>
        <v>978</v>
      </c>
      <c r="G304" s="7">
        <v>12.6</v>
      </c>
      <c r="H304" s="7" t="s">
        <v>16</v>
      </c>
      <c r="I304" s="7">
        <f>VLOOKUP(H304,Sheet4!A:B,2,0)</f>
        <v>10</v>
      </c>
      <c r="J304" s="7">
        <v>0</v>
      </c>
      <c r="K304" s="7">
        <v>8.02</v>
      </c>
      <c r="L304" s="7">
        <v>9.41</v>
      </c>
      <c r="M304" s="7" t="s">
        <v>16</v>
      </c>
      <c r="N304" s="7">
        <f>VLOOKUP(M304,Sheet4!A:B,2,0)</f>
        <v>10</v>
      </c>
      <c r="O304" s="7">
        <v>0</v>
      </c>
      <c r="P304" s="7">
        <v>3.4</v>
      </c>
    </row>
    <row r="305" ht="15.3" spans="1:16">
      <c r="A305" s="12">
        <v>10.26</v>
      </c>
      <c r="B305" s="18">
        <v>8</v>
      </c>
      <c r="C305" s="14">
        <v>0</v>
      </c>
      <c r="D305" s="15">
        <v>915</v>
      </c>
      <c r="E305" s="14">
        <v>1035</v>
      </c>
      <c r="F305" s="19">
        <f t="shared" si="4"/>
        <v>1950</v>
      </c>
      <c r="G305" s="7">
        <v>11.5</v>
      </c>
      <c r="H305" s="7" t="s">
        <v>16</v>
      </c>
      <c r="I305" s="7">
        <f>VLOOKUP(H305,Sheet4!A:B,2,0)</f>
        <v>10</v>
      </c>
      <c r="J305" s="7">
        <v>0</v>
      </c>
      <c r="K305" s="7">
        <v>8.35</v>
      </c>
      <c r="L305" s="7">
        <v>9.76</v>
      </c>
      <c r="M305" s="7" t="s">
        <v>19</v>
      </c>
      <c r="N305" s="7">
        <f>VLOOKUP(M305,Sheet4!A:B,2,0)</f>
        <v>8</v>
      </c>
      <c r="O305" s="7">
        <v>0</v>
      </c>
      <c r="P305" s="7">
        <v>3.33</v>
      </c>
    </row>
    <row r="306" ht="15.3" spans="1:16">
      <c r="A306" s="12">
        <v>10.26</v>
      </c>
      <c r="B306" s="18">
        <v>10</v>
      </c>
      <c r="C306" s="14">
        <v>0</v>
      </c>
      <c r="D306" s="15">
        <v>1188</v>
      </c>
      <c r="E306" s="14">
        <v>1217</v>
      </c>
      <c r="F306" s="19">
        <f t="shared" si="4"/>
        <v>2405</v>
      </c>
      <c r="G306" s="7">
        <v>11.85</v>
      </c>
      <c r="H306" s="7" t="s">
        <v>16</v>
      </c>
      <c r="I306" s="7">
        <f>VLOOKUP(H306,Sheet4!A:B,2,0)</f>
        <v>10</v>
      </c>
      <c r="J306" s="7">
        <v>0</v>
      </c>
      <c r="K306" s="7">
        <v>9.59</v>
      </c>
      <c r="L306" s="7">
        <v>10.91</v>
      </c>
      <c r="M306" s="7" t="s">
        <v>16</v>
      </c>
      <c r="N306" s="7">
        <f>VLOOKUP(M306,Sheet4!A:B,2,0)</f>
        <v>10</v>
      </c>
      <c r="O306" s="7">
        <v>0.1</v>
      </c>
      <c r="P306" s="7">
        <v>3.4</v>
      </c>
    </row>
    <row r="307" ht="15.3" spans="1:16">
      <c r="A307" s="12">
        <v>10.26</v>
      </c>
      <c r="B307" s="18">
        <v>12</v>
      </c>
      <c r="C307" s="14">
        <v>0</v>
      </c>
      <c r="D307" s="15">
        <v>1386</v>
      </c>
      <c r="E307" s="14">
        <v>1401</v>
      </c>
      <c r="F307" s="19">
        <f t="shared" si="4"/>
        <v>2787</v>
      </c>
      <c r="G307" s="7">
        <v>11.25</v>
      </c>
      <c r="H307" s="7" t="s">
        <v>16</v>
      </c>
      <c r="I307" s="7">
        <f>VLOOKUP(H307,Sheet4!A:B,2,0)</f>
        <v>10</v>
      </c>
      <c r="J307" s="7">
        <v>0</v>
      </c>
      <c r="K307" s="7">
        <v>7.32</v>
      </c>
      <c r="L307" s="7">
        <v>14.21</v>
      </c>
      <c r="M307" s="7" t="s">
        <v>16</v>
      </c>
      <c r="N307" s="7">
        <f>VLOOKUP(M307,Sheet4!A:B,2,0)</f>
        <v>10</v>
      </c>
      <c r="O307" s="7">
        <v>0</v>
      </c>
      <c r="P307" s="7">
        <v>6.16</v>
      </c>
    </row>
    <row r="308" ht="15.3" spans="1:16">
      <c r="A308" s="12">
        <v>10.26</v>
      </c>
      <c r="B308" s="18">
        <v>14</v>
      </c>
      <c r="C308" s="14">
        <v>0</v>
      </c>
      <c r="D308" s="15">
        <v>1231</v>
      </c>
      <c r="E308" s="14">
        <v>1463</v>
      </c>
      <c r="F308" s="19">
        <f t="shared" si="4"/>
        <v>2694</v>
      </c>
      <c r="G308" s="7">
        <v>11.5</v>
      </c>
      <c r="H308" s="7" t="s">
        <v>16</v>
      </c>
      <c r="I308" s="7">
        <f>VLOOKUP(H308,Sheet4!A:B,2,0)</f>
        <v>10</v>
      </c>
      <c r="J308" s="7">
        <v>0</v>
      </c>
      <c r="K308" s="7">
        <v>4.44</v>
      </c>
      <c r="L308" s="7">
        <v>14.11</v>
      </c>
      <c r="M308" s="7" t="s">
        <v>16</v>
      </c>
      <c r="N308" s="7">
        <f>VLOOKUP(M308,Sheet4!A:B,2,0)</f>
        <v>10</v>
      </c>
      <c r="O308" s="7">
        <v>0</v>
      </c>
      <c r="P308" s="7">
        <v>5.5</v>
      </c>
    </row>
    <row r="309" ht="15.3" spans="1:16">
      <c r="A309" s="12">
        <v>10.26</v>
      </c>
      <c r="B309" s="18">
        <v>16</v>
      </c>
      <c r="C309" s="14">
        <v>0</v>
      </c>
      <c r="D309" s="15">
        <v>1552</v>
      </c>
      <c r="E309" s="14">
        <v>1760</v>
      </c>
      <c r="F309" s="19">
        <f t="shared" si="4"/>
        <v>3312</v>
      </c>
      <c r="G309" s="7">
        <v>11.75</v>
      </c>
      <c r="H309" s="7" t="s">
        <v>16</v>
      </c>
      <c r="I309" s="7">
        <f>VLOOKUP(H309,Sheet4!A:B,2,0)</f>
        <v>10</v>
      </c>
      <c r="J309" s="7">
        <v>0</v>
      </c>
      <c r="K309" s="7">
        <v>8.22</v>
      </c>
      <c r="L309" s="7">
        <v>12.76</v>
      </c>
      <c r="M309" s="7" t="s">
        <v>16</v>
      </c>
      <c r="N309" s="7">
        <f>VLOOKUP(M309,Sheet4!A:B,2,0)</f>
        <v>10</v>
      </c>
      <c r="O309" s="7">
        <v>0</v>
      </c>
      <c r="P309" s="7">
        <v>4.86</v>
      </c>
    </row>
    <row r="310" ht="15.3" spans="1:16">
      <c r="A310" s="12">
        <v>10.26</v>
      </c>
      <c r="B310" s="18">
        <v>18</v>
      </c>
      <c r="C310" s="14">
        <v>0</v>
      </c>
      <c r="D310" s="15">
        <v>1396</v>
      </c>
      <c r="E310" s="14">
        <v>1733</v>
      </c>
      <c r="F310" s="19">
        <f t="shared" si="4"/>
        <v>3129</v>
      </c>
      <c r="G310" s="7">
        <v>11.65</v>
      </c>
      <c r="H310" s="7" t="s">
        <v>16</v>
      </c>
      <c r="I310" s="7">
        <f>VLOOKUP(H310,Sheet4!A:B,2,0)</f>
        <v>10</v>
      </c>
      <c r="J310" s="7">
        <v>0</v>
      </c>
      <c r="K310" s="7">
        <v>8.16</v>
      </c>
      <c r="L310" s="7">
        <v>10.16</v>
      </c>
      <c r="M310" s="7" t="s">
        <v>16</v>
      </c>
      <c r="N310" s="7">
        <f>VLOOKUP(M310,Sheet4!A:B,2,0)</f>
        <v>10</v>
      </c>
      <c r="O310" s="7">
        <v>0</v>
      </c>
      <c r="P310" s="7">
        <v>2.7</v>
      </c>
    </row>
    <row r="311" ht="15.3" spans="1:16">
      <c r="A311" s="12">
        <v>10.26</v>
      </c>
      <c r="B311" s="18">
        <v>20</v>
      </c>
      <c r="C311" s="14">
        <v>0</v>
      </c>
      <c r="D311" s="15">
        <v>1207</v>
      </c>
      <c r="E311" s="14">
        <v>1441</v>
      </c>
      <c r="F311" s="19">
        <f t="shared" si="4"/>
        <v>2648</v>
      </c>
      <c r="G311" s="7">
        <v>11.5</v>
      </c>
      <c r="H311" s="7" t="s">
        <v>16</v>
      </c>
      <c r="I311" s="7">
        <f>VLOOKUP(H311,Sheet4!A:B,2,0)</f>
        <v>10</v>
      </c>
      <c r="J311" s="7">
        <v>0</v>
      </c>
      <c r="K311" s="7">
        <v>7.32</v>
      </c>
      <c r="L311" s="7">
        <v>7.96</v>
      </c>
      <c r="M311" s="7" t="s">
        <v>16</v>
      </c>
      <c r="N311" s="7">
        <f>VLOOKUP(M311,Sheet4!A:B,2,0)</f>
        <v>10</v>
      </c>
      <c r="O311" s="7">
        <v>0</v>
      </c>
      <c r="P311" s="7">
        <v>2</v>
      </c>
    </row>
    <row r="312" ht="15.3" spans="1:16">
      <c r="A312" s="12">
        <v>10.26</v>
      </c>
      <c r="B312" s="18">
        <v>22</v>
      </c>
      <c r="C312" s="14">
        <v>0</v>
      </c>
      <c r="D312" s="15">
        <v>1033</v>
      </c>
      <c r="E312" s="14">
        <v>1047</v>
      </c>
      <c r="F312" s="19">
        <f t="shared" si="4"/>
        <v>2080</v>
      </c>
      <c r="G312" s="7">
        <v>11.75</v>
      </c>
      <c r="H312" s="7" t="s">
        <v>16</v>
      </c>
      <c r="I312" s="7">
        <f>VLOOKUP(H312,Sheet4!A:B,2,0)</f>
        <v>10</v>
      </c>
      <c r="J312" s="7">
        <v>0</v>
      </c>
      <c r="K312" s="7">
        <v>4.35</v>
      </c>
      <c r="L312" s="7">
        <v>7.86</v>
      </c>
      <c r="M312" s="7" t="s">
        <v>16</v>
      </c>
      <c r="N312" s="7">
        <f>VLOOKUP(M312,Sheet4!A:B,2,0)</f>
        <v>10</v>
      </c>
      <c r="O312" s="7">
        <v>0</v>
      </c>
      <c r="P312" s="7">
        <v>0.52</v>
      </c>
    </row>
    <row r="313" ht="15.3" spans="1:16">
      <c r="A313" s="12">
        <v>10.26</v>
      </c>
      <c r="B313" s="20">
        <v>24</v>
      </c>
      <c r="C313" s="14">
        <v>0</v>
      </c>
      <c r="D313" s="15">
        <v>1016</v>
      </c>
      <c r="E313" s="14">
        <v>713</v>
      </c>
      <c r="F313" s="19">
        <f t="shared" si="4"/>
        <v>1729</v>
      </c>
      <c r="G313" s="7">
        <v>10.6</v>
      </c>
      <c r="H313" s="7" t="s">
        <v>16</v>
      </c>
      <c r="I313" s="7">
        <f>VLOOKUP(H313,Sheet4!A:B,2,0)</f>
        <v>10</v>
      </c>
      <c r="J313" s="7">
        <v>0</v>
      </c>
      <c r="K313" s="7">
        <v>9</v>
      </c>
      <c r="L313" s="7">
        <v>6.56</v>
      </c>
      <c r="M313" s="7" t="s">
        <v>16</v>
      </c>
      <c r="N313" s="7">
        <f>VLOOKUP(M313,Sheet4!A:B,2,0)</f>
        <v>10</v>
      </c>
      <c r="O313" s="7">
        <v>0</v>
      </c>
      <c r="P313" s="7">
        <v>1.76</v>
      </c>
    </row>
    <row r="314" ht="15.3" spans="1:16">
      <c r="A314" s="12">
        <v>10.27</v>
      </c>
      <c r="B314" s="18">
        <v>2</v>
      </c>
      <c r="C314" s="14">
        <v>0</v>
      </c>
      <c r="D314" s="15">
        <v>615</v>
      </c>
      <c r="E314" s="14">
        <v>367</v>
      </c>
      <c r="F314" s="19">
        <f t="shared" si="4"/>
        <v>982</v>
      </c>
      <c r="G314" s="7">
        <v>9.8</v>
      </c>
      <c r="H314" s="7" t="s">
        <v>16</v>
      </c>
      <c r="I314" s="7">
        <f>VLOOKUP(H314,Sheet4!A:B,2,0)</f>
        <v>10</v>
      </c>
      <c r="J314" s="7">
        <v>0</v>
      </c>
      <c r="K314" s="7">
        <v>8.61</v>
      </c>
      <c r="L314" s="7">
        <v>5.46</v>
      </c>
      <c r="M314" s="7" t="s">
        <v>16</v>
      </c>
      <c r="N314" s="7">
        <f>VLOOKUP(M314,Sheet4!A:B,2,0)</f>
        <v>10</v>
      </c>
      <c r="O314" s="7">
        <v>0</v>
      </c>
      <c r="P314" s="7">
        <v>1.78</v>
      </c>
    </row>
    <row r="315" ht="15.3" spans="1:16">
      <c r="A315" s="12">
        <v>10.27</v>
      </c>
      <c r="B315" s="18">
        <v>4</v>
      </c>
      <c r="C315" s="14">
        <v>0</v>
      </c>
      <c r="D315" s="15">
        <v>472</v>
      </c>
      <c r="E315" s="14">
        <v>316</v>
      </c>
      <c r="F315" s="19">
        <f t="shared" si="4"/>
        <v>788</v>
      </c>
      <c r="G315" s="7">
        <v>8.85</v>
      </c>
      <c r="H315" s="7" t="s">
        <v>16</v>
      </c>
      <c r="I315" s="7">
        <f>VLOOKUP(H315,Sheet4!A:B,2,0)</f>
        <v>10</v>
      </c>
      <c r="J315" s="7">
        <v>0</v>
      </c>
      <c r="K315" s="7">
        <v>7.43</v>
      </c>
      <c r="L315" s="7">
        <v>4.96</v>
      </c>
      <c r="M315" s="7" t="s">
        <v>16</v>
      </c>
      <c r="N315" s="7">
        <f>VLOOKUP(M315,Sheet4!A:B,2,0)</f>
        <v>10</v>
      </c>
      <c r="O315" s="7">
        <v>0</v>
      </c>
      <c r="P315" s="7">
        <v>1.86</v>
      </c>
    </row>
    <row r="316" ht="15.3" spans="1:16">
      <c r="A316" s="12">
        <v>10.27</v>
      </c>
      <c r="B316" s="18">
        <v>6</v>
      </c>
      <c r="C316" s="14">
        <v>0</v>
      </c>
      <c r="D316" s="15">
        <v>479</v>
      </c>
      <c r="E316" s="14">
        <v>445</v>
      </c>
      <c r="F316" s="19">
        <f t="shared" si="4"/>
        <v>924</v>
      </c>
      <c r="G316" s="7">
        <v>8.95</v>
      </c>
      <c r="H316" s="7" t="s">
        <v>16</v>
      </c>
      <c r="I316" s="7">
        <f>VLOOKUP(H316,Sheet4!A:B,2,0)</f>
        <v>10</v>
      </c>
      <c r="J316" s="7">
        <v>0</v>
      </c>
      <c r="K316" s="7">
        <v>6.35</v>
      </c>
      <c r="L316" s="7">
        <v>3.81</v>
      </c>
      <c r="M316" s="7" t="s">
        <v>16</v>
      </c>
      <c r="N316" s="7">
        <f>VLOOKUP(M316,Sheet4!A:B,2,0)</f>
        <v>10</v>
      </c>
      <c r="O316" s="7">
        <v>0</v>
      </c>
      <c r="P316" s="7">
        <v>1.6</v>
      </c>
    </row>
    <row r="317" ht="15.3" spans="1:16">
      <c r="A317" s="12">
        <v>10.27</v>
      </c>
      <c r="B317" s="18">
        <v>8</v>
      </c>
      <c r="C317" s="14">
        <v>0</v>
      </c>
      <c r="D317" s="15">
        <v>967</v>
      </c>
      <c r="E317" s="14">
        <v>1015</v>
      </c>
      <c r="F317" s="19">
        <f t="shared" si="4"/>
        <v>1982</v>
      </c>
      <c r="G317" s="7">
        <v>8.6</v>
      </c>
      <c r="H317" s="7" t="s">
        <v>16</v>
      </c>
      <c r="I317" s="7">
        <f>VLOOKUP(H317,Sheet4!A:B,2,0)</f>
        <v>10</v>
      </c>
      <c r="J317" s="7">
        <v>0</v>
      </c>
      <c r="K317" s="7">
        <v>5.01</v>
      </c>
      <c r="L317" s="7">
        <v>3.96</v>
      </c>
      <c r="M317" s="7" t="s">
        <v>16</v>
      </c>
      <c r="N317" s="7">
        <f>VLOOKUP(M317,Sheet4!A:B,2,0)</f>
        <v>10</v>
      </c>
      <c r="O317" s="7">
        <v>0</v>
      </c>
      <c r="P317" s="7">
        <v>1.8</v>
      </c>
    </row>
    <row r="318" ht="15.3" spans="1:16">
      <c r="A318" s="12">
        <v>10.27</v>
      </c>
      <c r="B318" s="18">
        <v>10</v>
      </c>
      <c r="C318" s="14">
        <v>0</v>
      </c>
      <c r="D318" s="15">
        <v>1037</v>
      </c>
      <c r="E318" s="14">
        <v>1074</v>
      </c>
      <c r="F318" s="19">
        <f t="shared" si="4"/>
        <v>2111</v>
      </c>
      <c r="G318" s="7">
        <v>9.4</v>
      </c>
      <c r="H318" s="7" t="s">
        <v>16</v>
      </c>
      <c r="I318" s="7">
        <f>VLOOKUP(H318,Sheet4!A:B,2,0)</f>
        <v>10</v>
      </c>
      <c r="J318" s="7">
        <v>0</v>
      </c>
      <c r="K318" s="7">
        <v>3.17</v>
      </c>
      <c r="L318" s="7">
        <v>8.91</v>
      </c>
      <c r="M318" s="7" t="s">
        <v>16</v>
      </c>
      <c r="N318" s="7">
        <f>VLOOKUP(M318,Sheet4!A:B,2,0)</f>
        <v>10</v>
      </c>
      <c r="O318" s="7">
        <v>0</v>
      </c>
      <c r="P318" s="7">
        <v>0.27</v>
      </c>
    </row>
    <row r="319" ht="15.3" spans="1:16">
      <c r="A319" s="12">
        <v>10.27</v>
      </c>
      <c r="B319" s="18">
        <v>12</v>
      </c>
      <c r="C319" s="14">
        <v>0</v>
      </c>
      <c r="D319" s="15">
        <v>1322</v>
      </c>
      <c r="E319" s="14">
        <v>1239</v>
      </c>
      <c r="F319" s="19">
        <f t="shared" si="4"/>
        <v>2561</v>
      </c>
      <c r="G319" s="7">
        <v>9.75</v>
      </c>
      <c r="H319" s="7" t="s">
        <v>16</v>
      </c>
      <c r="I319" s="7">
        <f>VLOOKUP(H319,Sheet4!A:B,2,0)</f>
        <v>10</v>
      </c>
      <c r="J319" s="7">
        <v>0</v>
      </c>
      <c r="K319" s="7">
        <v>2.08</v>
      </c>
      <c r="L319" s="7">
        <v>12.21</v>
      </c>
      <c r="M319" s="7" t="s">
        <v>16</v>
      </c>
      <c r="N319" s="7">
        <f>VLOOKUP(M319,Sheet4!A:B,2,0)</f>
        <v>10</v>
      </c>
      <c r="O319" s="7">
        <v>0</v>
      </c>
      <c r="P319" s="7">
        <v>1.23</v>
      </c>
    </row>
    <row r="320" ht="15.3" spans="1:16">
      <c r="A320" s="12">
        <v>10.27</v>
      </c>
      <c r="B320" s="18">
        <v>14</v>
      </c>
      <c r="C320" s="14">
        <v>0</v>
      </c>
      <c r="D320" s="15">
        <v>1070</v>
      </c>
      <c r="E320" s="14">
        <v>1207</v>
      </c>
      <c r="F320" s="19">
        <f t="shared" si="4"/>
        <v>2277</v>
      </c>
      <c r="G320" s="7">
        <v>10.5</v>
      </c>
      <c r="H320" s="7" t="s">
        <v>16</v>
      </c>
      <c r="I320" s="7">
        <f>VLOOKUP(H320,Sheet4!A:B,2,0)</f>
        <v>10</v>
      </c>
      <c r="J320" s="7">
        <v>0</v>
      </c>
      <c r="K320" s="7">
        <v>2.01</v>
      </c>
      <c r="L320" s="7">
        <v>13.41</v>
      </c>
      <c r="M320" s="7" t="s">
        <v>16</v>
      </c>
      <c r="N320" s="7">
        <f>VLOOKUP(M320,Sheet4!A:B,2,0)</f>
        <v>10</v>
      </c>
      <c r="O320" s="7">
        <v>0</v>
      </c>
      <c r="P320" s="7">
        <v>2.1</v>
      </c>
    </row>
    <row r="321" ht="15.3" spans="1:16">
      <c r="A321" s="12">
        <v>10.27</v>
      </c>
      <c r="B321" s="18">
        <v>16</v>
      </c>
      <c r="C321" s="14">
        <v>0</v>
      </c>
      <c r="D321" s="15">
        <v>1164</v>
      </c>
      <c r="E321" s="14">
        <v>1336</v>
      </c>
      <c r="F321" s="19">
        <f t="shared" si="4"/>
        <v>2500</v>
      </c>
      <c r="G321" s="7">
        <v>13.35</v>
      </c>
      <c r="H321" s="7" t="s">
        <v>16</v>
      </c>
      <c r="I321" s="7">
        <f>VLOOKUP(H321,Sheet4!A:B,2,0)</f>
        <v>10</v>
      </c>
      <c r="J321" s="7">
        <v>0</v>
      </c>
      <c r="K321" s="7">
        <v>6.17</v>
      </c>
      <c r="L321" s="7">
        <v>14.86</v>
      </c>
      <c r="M321" s="7" t="s">
        <v>16</v>
      </c>
      <c r="N321" s="7">
        <f>VLOOKUP(M321,Sheet4!A:B,2,0)</f>
        <v>10</v>
      </c>
      <c r="O321" s="7">
        <v>0</v>
      </c>
      <c r="P321" s="7">
        <v>2.45</v>
      </c>
    </row>
    <row r="322" ht="15.3" spans="1:16">
      <c r="A322" s="12">
        <v>10.27</v>
      </c>
      <c r="B322" s="18">
        <v>18</v>
      </c>
      <c r="C322" s="14">
        <v>0</v>
      </c>
      <c r="D322" s="15">
        <v>1190</v>
      </c>
      <c r="E322" s="14">
        <v>1401</v>
      </c>
      <c r="F322" s="19">
        <f t="shared" si="4"/>
        <v>2591</v>
      </c>
      <c r="G322" s="7">
        <v>14</v>
      </c>
      <c r="H322" s="7" t="s">
        <v>16</v>
      </c>
      <c r="I322" s="7">
        <f>VLOOKUP(H322,Sheet4!A:B,2,0)</f>
        <v>10</v>
      </c>
      <c r="J322" s="7">
        <v>0</v>
      </c>
      <c r="K322" s="7">
        <v>5.57</v>
      </c>
      <c r="L322" s="7">
        <v>12.46</v>
      </c>
      <c r="M322" s="7" t="s">
        <v>16</v>
      </c>
      <c r="N322" s="7">
        <f>VLOOKUP(M322,Sheet4!A:B,2,0)</f>
        <v>10</v>
      </c>
      <c r="O322" s="7">
        <v>0</v>
      </c>
      <c r="P322" s="7">
        <v>1.23</v>
      </c>
    </row>
    <row r="323" ht="15.3" spans="1:16">
      <c r="A323" s="12">
        <v>10.27</v>
      </c>
      <c r="B323" s="18">
        <v>20</v>
      </c>
      <c r="C323" s="14">
        <v>0</v>
      </c>
      <c r="D323" s="15">
        <v>1080</v>
      </c>
      <c r="E323" s="14">
        <v>1140</v>
      </c>
      <c r="F323" s="19">
        <f t="shared" ref="F323:F373" si="5">D323+E323</f>
        <v>2220</v>
      </c>
      <c r="G323" s="7">
        <v>14.6</v>
      </c>
      <c r="H323" s="7" t="s">
        <v>16</v>
      </c>
      <c r="I323" s="7">
        <f>VLOOKUP(H323,Sheet4!A:B,2,0)</f>
        <v>10</v>
      </c>
      <c r="J323" s="7">
        <v>0</v>
      </c>
      <c r="K323" s="7">
        <v>4.86</v>
      </c>
      <c r="L323" s="7">
        <v>10.06</v>
      </c>
      <c r="M323" s="7" t="s">
        <v>16</v>
      </c>
      <c r="N323" s="7">
        <f>VLOOKUP(M323,Sheet4!A:B,2,0)</f>
        <v>10</v>
      </c>
      <c r="O323" s="7">
        <v>0</v>
      </c>
      <c r="P323" s="7">
        <v>0.88</v>
      </c>
    </row>
    <row r="324" ht="15.3" spans="1:16">
      <c r="A324" s="12">
        <v>10.27</v>
      </c>
      <c r="B324" s="18">
        <v>22</v>
      </c>
      <c r="C324" s="14">
        <v>0</v>
      </c>
      <c r="D324" s="15">
        <v>1096</v>
      </c>
      <c r="E324" s="14">
        <v>980</v>
      </c>
      <c r="F324" s="19">
        <f t="shared" si="5"/>
        <v>2076</v>
      </c>
      <c r="G324" s="7">
        <v>14.7</v>
      </c>
      <c r="H324" s="7" t="s">
        <v>16</v>
      </c>
      <c r="I324" s="7">
        <f>VLOOKUP(H324,Sheet4!A:B,2,0)</f>
        <v>10</v>
      </c>
      <c r="J324" s="7">
        <v>0</v>
      </c>
      <c r="K324" s="7">
        <v>4.71</v>
      </c>
      <c r="L324" s="7">
        <v>8.71</v>
      </c>
      <c r="M324" s="7" t="s">
        <v>16</v>
      </c>
      <c r="N324" s="7">
        <f>VLOOKUP(M324,Sheet4!A:B,2,0)</f>
        <v>10</v>
      </c>
      <c r="O324" s="7">
        <v>0</v>
      </c>
      <c r="P324" s="7">
        <v>2.57</v>
      </c>
    </row>
    <row r="325" ht="15.3" spans="1:16">
      <c r="A325" s="12">
        <v>10.27</v>
      </c>
      <c r="B325" s="20">
        <v>24</v>
      </c>
      <c r="C325" s="14">
        <v>0</v>
      </c>
      <c r="D325" s="15">
        <v>873</v>
      </c>
      <c r="E325" s="14">
        <v>642</v>
      </c>
      <c r="F325" s="19">
        <f t="shared" si="5"/>
        <v>1515</v>
      </c>
      <c r="G325" s="7">
        <v>14.9</v>
      </c>
      <c r="H325" s="7" t="s">
        <v>16</v>
      </c>
      <c r="I325" s="7">
        <f>VLOOKUP(H325,Sheet4!A:B,2,0)</f>
        <v>10</v>
      </c>
      <c r="J325" s="7">
        <v>0</v>
      </c>
      <c r="K325" s="7">
        <v>3.93</v>
      </c>
      <c r="L325" s="7">
        <v>7.56</v>
      </c>
      <c r="M325" s="7" t="s">
        <v>16</v>
      </c>
      <c r="N325" s="7">
        <f>VLOOKUP(M325,Sheet4!A:B,2,0)</f>
        <v>10</v>
      </c>
      <c r="O325" s="7">
        <v>0</v>
      </c>
      <c r="P325" s="7">
        <v>2.14</v>
      </c>
    </row>
    <row r="326" ht="15.3" spans="1:16">
      <c r="A326" s="12">
        <v>10.28</v>
      </c>
      <c r="B326" s="18">
        <v>2</v>
      </c>
      <c r="C326" s="14">
        <v>0</v>
      </c>
      <c r="D326" s="15">
        <v>610</v>
      </c>
      <c r="E326" s="14">
        <v>406</v>
      </c>
      <c r="F326" s="19">
        <f t="shared" si="5"/>
        <v>1016</v>
      </c>
      <c r="G326" s="7">
        <v>14.95</v>
      </c>
      <c r="H326" s="7" t="s">
        <v>16</v>
      </c>
      <c r="I326" s="7">
        <f>VLOOKUP(H326,Sheet4!A:B,2,0)</f>
        <v>10</v>
      </c>
      <c r="J326" s="7">
        <v>0</v>
      </c>
      <c r="K326" s="7">
        <v>5.39</v>
      </c>
      <c r="L326" s="7">
        <v>6.66</v>
      </c>
      <c r="M326" s="7" t="s">
        <v>16</v>
      </c>
      <c r="N326" s="7">
        <f>VLOOKUP(M326,Sheet4!A:B,2,0)</f>
        <v>10</v>
      </c>
      <c r="O326" s="7">
        <v>0</v>
      </c>
      <c r="P326" s="7">
        <v>1.77</v>
      </c>
    </row>
    <row r="327" ht="15.3" spans="1:16">
      <c r="A327" s="12">
        <v>10.28</v>
      </c>
      <c r="B327" s="18">
        <v>4</v>
      </c>
      <c r="C327" s="14">
        <v>0</v>
      </c>
      <c r="D327" s="15">
        <v>430</v>
      </c>
      <c r="E327" s="14">
        <v>274</v>
      </c>
      <c r="F327" s="19">
        <f t="shared" si="5"/>
        <v>704</v>
      </c>
      <c r="G327" s="7">
        <v>14.2</v>
      </c>
      <c r="H327" s="7" t="s">
        <v>16</v>
      </c>
      <c r="I327" s="7">
        <f>VLOOKUP(H327,Sheet4!A:B,2,0)</f>
        <v>10</v>
      </c>
      <c r="J327" s="7">
        <v>0.2</v>
      </c>
      <c r="K327" s="7">
        <v>5.41</v>
      </c>
      <c r="L327" s="7">
        <v>6.06</v>
      </c>
      <c r="M327" s="7" t="s">
        <v>16</v>
      </c>
      <c r="N327" s="7">
        <f>VLOOKUP(M327,Sheet4!A:B,2,0)</f>
        <v>10</v>
      </c>
      <c r="O327" s="7">
        <v>0</v>
      </c>
      <c r="P327" s="7">
        <v>1.82</v>
      </c>
    </row>
    <row r="328" ht="15.3" spans="1:16">
      <c r="A328" s="12">
        <v>10.28</v>
      </c>
      <c r="B328" s="18">
        <v>6</v>
      </c>
      <c r="C328" s="14">
        <v>0</v>
      </c>
      <c r="D328" s="15">
        <v>494</v>
      </c>
      <c r="E328" s="14">
        <v>452</v>
      </c>
      <c r="F328" s="19">
        <f t="shared" si="5"/>
        <v>946</v>
      </c>
      <c r="G328" s="7">
        <v>14.45</v>
      </c>
      <c r="H328" s="7" t="s">
        <v>16</v>
      </c>
      <c r="I328" s="7">
        <f>VLOOKUP(H328,Sheet4!A:B,2,0)</f>
        <v>10</v>
      </c>
      <c r="J328" s="7">
        <v>0</v>
      </c>
      <c r="K328" s="7">
        <v>4.88</v>
      </c>
      <c r="L328" s="7">
        <v>6.06</v>
      </c>
      <c r="M328" s="7" t="s">
        <v>16</v>
      </c>
      <c r="N328" s="7">
        <f>VLOOKUP(M328,Sheet4!A:B,2,0)</f>
        <v>10</v>
      </c>
      <c r="O328" s="7">
        <v>0</v>
      </c>
      <c r="P328" s="7">
        <v>2.01</v>
      </c>
    </row>
    <row r="329" ht="15.3" spans="1:16">
      <c r="A329" s="12">
        <v>10.28</v>
      </c>
      <c r="B329" s="18">
        <v>8</v>
      </c>
      <c r="C329" s="14">
        <v>0</v>
      </c>
      <c r="D329" s="15">
        <v>869</v>
      </c>
      <c r="E329" s="14">
        <v>878</v>
      </c>
      <c r="F329" s="19">
        <f t="shared" si="5"/>
        <v>1747</v>
      </c>
      <c r="G329" s="7">
        <v>14.45</v>
      </c>
      <c r="H329" s="7" t="s">
        <v>16</v>
      </c>
      <c r="I329" s="7">
        <f>VLOOKUP(H329,Sheet4!A:B,2,0)</f>
        <v>10</v>
      </c>
      <c r="J329" s="7">
        <v>0</v>
      </c>
      <c r="K329" s="7">
        <v>3.34</v>
      </c>
      <c r="L329" s="7">
        <v>6.66</v>
      </c>
      <c r="M329" s="7" t="s">
        <v>16</v>
      </c>
      <c r="N329" s="7">
        <f>VLOOKUP(M329,Sheet4!A:B,2,0)</f>
        <v>10</v>
      </c>
      <c r="O329" s="7">
        <v>0</v>
      </c>
      <c r="P329" s="7">
        <v>2.51</v>
      </c>
    </row>
    <row r="330" ht="15.3" spans="1:16">
      <c r="A330" s="12">
        <v>10.28</v>
      </c>
      <c r="B330" s="18">
        <v>10</v>
      </c>
      <c r="C330" s="14">
        <v>0</v>
      </c>
      <c r="D330" s="15">
        <v>1342</v>
      </c>
      <c r="E330" s="14">
        <v>1330</v>
      </c>
      <c r="F330" s="19">
        <f t="shared" si="5"/>
        <v>2672</v>
      </c>
      <c r="G330" s="7">
        <v>14.85</v>
      </c>
      <c r="H330" s="7" t="s">
        <v>16</v>
      </c>
      <c r="I330" s="7">
        <f>VLOOKUP(H330,Sheet4!A:B,2,0)</f>
        <v>10</v>
      </c>
      <c r="J330" s="7">
        <v>0</v>
      </c>
      <c r="K330" s="7">
        <v>4.45</v>
      </c>
      <c r="L330" s="7">
        <v>10.91</v>
      </c>
      <c r="M330" s="7" t="s">
        <v>16</v>
      </c>
      <c r="N330" s="7">
        <f>VLOOKUP(M330,Sheet4!A:B,2,0)</f>
        <v>10</v>
      </c>
      <c r="O330" s="7">
        <v>0</v>
      </c>
      <c r="P330" s="7">
        <v>1.83</v>
      </c>
    </row>
    <row r="331" ht="15.3" spans="1:16">
      <c r="A331" s="12">
        <v>10.28</v>
      </c>
      <c r="B331" s="18">
        <v>12</v>
      </c>
      <c r="C331" s="14">
        <v>0</v>
      </c>
      <c r="D331" s="15">
        <v>1492</v>
      </c>
      <c r="E331" s="14">
        <v>1486</v>
      </c>
      <c r="F331" s="19">
        <f t="shared" si="5"/>
        <v>2978</v>
      </c>
      <c r="G331" s="7">
        <v>15</v>
      </c>
      <c r="H331" s="7" t="s">
        <v>16</v>
      </c>
      <c r="I331" s="7">
        <f>VLOOKUP(H331,Sheet4!A:B,2,0)</f>
        <v>10</v>
      </c>
      <c r="J331" s="7">
        <v>0</v>
      </c>
      <c r="K331" s="7">
        <v>4.14</v>
      </c>
      <c r="L331" s="7">
        <v>15.46</v>
      </c>
      <c r="M331" s="7" t="s">
        <v>16</v>
      </c>
      <c r="N331" s="7">
        <f>VLOOKUP(M331,Sheet4!A:B,2,0)</f>
        <v>10</v>
      </c>
      <c r="O331" s="7">
        <v>0</v>
      </c>
      <c r="P331" s="7">
        <v>1.98</v>
      </c>
    </row>
    <row r="332" ht="15.3" spans="1:16">
      <c r="A332" s="12">
        <v>10.28</v>
      </c>
      <c r="B332" s="18">
        <v>14</v>
      </c>
      <c r="C332" s="14">
        <v>0</v>
      </c>
      <c r="D332" s="15">
        <v>1346</v>
      </c>
      <c r="E332" s="14">
        <v>1407</v>
      </c>
      <c r="F332" s="19">
        <f t="shared" si="5"/>
        <v>2753</v>
      </c>
      <c r="G332" s="7">
        <v>15.2</v>
      </c>
      <c r="H332" s="7" t="s">
        <v>16</v>
      </c>
      <c r="I332" s="7">
        <f>VLOOKUP(H332,Sheet4!A:B,2,0)</f>
        <v>10</v>
      </c>
      <c r="J332" s="7">
        <v>0</v>
      </c>
      <c r="K332" s="7">
        <v>3.49</v>
      </c>
      <c r="L332" s="7">
        <v>17.06</v>
      </c>
      <c r="M332" s="7" t="s">
        <v>16</v>
      </c>
      <c r="N332" s="7">
        <f>VLOOKUP(M332,Sheet4!A:B,2,0)</f>
        <v>10</v>
      </c>
      <c r="O332" s="7">
        <v>0</v>
      </c>
      <c r="P332" s="7">
        <v>2.67</v>
      </c>
    </row>
    <row r="333" ht="15.3" spans="1:16">
      <c r="A333" s="12">
        <v>10.28</v>
      </c>
      <c r="B333" s="18">
        <v>16</v>
      </c>
      <c r="C333" s="14">
        <v>0</v>
      </c>
      <c r="D333" s="15">
        <v>1456</v>
      </c>
      <c r="E333" s="14">
        <v>1513</v>
      </c>
      <c r="F333" s="19">
        <f t="shared" si="5"/>
        <v>2969</v>
      </c>
      <c r="G333" s="7">
        <v>15.35</v>
      </c>
      <c r="H333" s="7" t="s">
        <v>16</v>
      </c>
      <c r="I333" s="7">
        <f>VLOOKUP(H333,Sheet4!A:B,2,0)</f>
        <v>10</v>
      </c>
      <c r="J333" s="7">
        <v>0</v>
      </c>
      <c r="K333" s="7">
        <v>3.72</v>
      </c>
      <c r="L333" s="7">
        <v>16.31</v>
      </c>
      <c r="M333" s="7" t="s">
        <v>18</v>
      </c>
      <c r="N333" s="7">
        <f>VLOOKUP(M333,Sheet4!A:B,2,0)</f>
        <v>6</v>
      </c>
      <c r="O333" s="7">
        <v>0</v>
      </c>
      <c r="P333" s="7">
        <v>3.11</v>
      </c>
    </row>
    <row r="334" ht="15.3" spans="1:16">
      <c r="A334" s="12">
        <v>10.28</v>
      </c>
      <c r="B334" s="18">
        <v>18</v>
      </c>
      <c r="C334" s="14">
        <v>0</v>
      </c>
      <c r="D334" s="15">
        <v>1364</v>
      </c>
      <c r="E334" s="14">
        <v>1510</v>
      </c>
      <c r="F334" s="19">
        <f t="shared" si="5"/>
        <v>2874</v>
      </c>
      <c r="G334" s="7">
        <v>15.6</v>
      </c>
      <c r="H334" s="7" t="s">
        <v>16</v>
      </c>
      <c r="I334" s="7">
        <f>VLOOKUP(H334,Sheet4!A:B,2,0)</f>
        <v>10</v>
      </c>
      <c r="J334" s="7">
        <v>0</v>
      </c>
      <c r="K334" s="7">
        <v>4.39</v>
      </c>
      <c r="L334" s="7">
        <v>14.31</v>
      </c>
      <c r="M334" s="7" t="s">
        <v>18</v>
      </c>
      <c r="N334" s="7">
        <f>VLOOKUP(M334,Sheet4!A:B,2,0)</f>
        <v>6</v>
      </c>
      <c r="O334" s="7">
        <v>0</v>
      </c>
      <c r="P334" s="7">
        <v>2.46</v>
      </c>
    </row>
    <row r="335" ht="15.3" spans="1:16">
      <c r="A335" s="12">
        <v>10.28</v>
      </c>
      <c r="B335" s="18">
        <v>20</v>
      </c>
      <c r="C335" s="14">
        <v>0</v>
      </c>
      <c r="D335" s="15">
        <v>1164</v>
      </c>
      <c r="E335" s="14">
        <v>1237</v>
      </c>
      <c r="F335" s="19">
        <f t="shared" si="5"/>
        <v>2401</v>
      </c>
      <c r="G335" s="7">
        <v>16.15</v>
      </c>
      <c r="H335" s="7" t="s">
        <v>16</v>
      </c>
      <c r="I335" s="7">
        <f>VLOOKUP(H335,Sheet4!A:B,2,0)</f>
        <v>10</v>
      </c>
      <c r="J335" s="7">
        <v>0</v>
      </c>
      <c r="K335" s="7">
        <v>4.21</v>
      </c>
      <c r="L335" s="7">
        <v>12.96</v>
      </c>
      <c r="M335" s="7" t="s">
        <v>16</v>
      </c>
      <c r="N335" s="7">
        <f>VLOOKUP(M335,Sheet4!A:B,2,0)</f>
        <v>10</v>
      </c>
      <c r="O335" s="7">
        <v>0</v>
      </c>
      <c r="P335" s="7">
        <v>2.9</v>
      </c>
    </row>
    <row r="336" ht="15.3" spans="1:16">
      <c r="A336" s="12">
        <v>10.28</v>
      </c>
      <c r="B336" s="18">
        <v>22</v>
      </c>
      <c r="C336" s="14">
        <v>0</v>
      </c>
      <c r="D336" s="15">
        <v>1151</v>
      </c>
      <c r="E336" s="14">
        <v>1039</v>
      </c>
      <c r="F336" s="19">
        <f t="shared" si="5"/>
        <v>2190</v>
      </c>
      <c r="G336" s="7">
        <v>15.6</v>
      </c>
      <c r="H336" s="7" t="s">
        <v>16</v>
      </c>
      <c r="I336" s="7">
        <f>VLOOKUP(H336,Sheet4!A:B,2,0)</f>
        <v>10</v>
      </c>
      <c r="J336" s="7">
        <v>0</v>
      </c>
      <c r="K336" s="7">
        <v>6.17</v>
      </c>
      <c r="L336" s="7">
        <v>12.26</v>
      </c>
      <c r="M336" s="7" t="s">
        <v>16</v>
      </c>
      <c r="N336" s="7">
        <f>VLOOKUP(M336,Sheet4!A:B,2,0)</f>
        <v>10</v>
      </c>
      <c r="O336" s="7">
        <v>0</v>
      </c>
      <c r="P336" s="7">
        <v>2.75</v>
      </c>
    </row>
    <row r="337" ht="15.3" spans="1:16">
      <c r="A337" s="12">
        <v>10.28</v>
      </c>
      <c r="B337" s="20">
        <v>24</v>
      </c>
      <c r="C337" s="14">
        <v>0</v>
      </c>
      <c r="D337" s="15">
        <v>965</v>
      </c>
      <c r="E337" s="14">
        <v>692</v>
      </c>
      <c r="F337" s="19">
        <f t="shared" si="5"/>
        <v>1657</v>
      </c>
      <c r="G337" s="7">
        <v>15.95</v>
      </c>
      <c r="H337" s="7" t="s">
        <v>16</v>
      </c>
      <c r="I337" s="7">
        <f>VLOOKUP(H337,Sheet4!A:B,2,0)</f>
        <v>10</v>
      </c>
      <c r="J337" s="7">
        <v>0</v>
      </c>
      <c r="K337" s="7">
        <v>7.65</v>
      </c>
      <c r="L337" s="7">
        <v>12.01</v>
      </c>
      <c r="M337" s="7" t="s">
        <v>16</v>
      </c>
      <c r="N337" s="7">
        <f>VLOOKUP(M337,Sheet4!A:B,2,0)</f>
        <v>10</v>
      </c>
      <c r="O337" s="7">
        <v>0</v>
      </c>
      <c r="P337" s="7">
        <v>2.95</v>
      </c>
    </row>
    <row r="338" ht="15.3" spans="1:16">
      <c r="A338" s="12">
        <v>10.29</v>
      </c>
      <c r="B338" s="18">
        <v>2</v>
      </c>
      <c r="C338" s="14">
        <v>0</v>
      </c>
      <c r="D338" s="15">
        <v>685</v>
      </c>
      <c r="E338" s="14">
        <v>347</v>
      </c>
      <c r="F338" s="19">
        <f t="shared" si="5"/>
        <v>1032</v>
      </c>
      <c r="G338" s="7">
        <v>15.95</v>
      </c>
      <c r="H338" s="7" t="s">
        <v>16</v>
      </c>
      <c r="I338" s="7">
        <f>VLOOKUP(H338,Sheet4!A:B,2,0)</f>
        <v>10</v>
      </c>
      <c r="J338" s="7">
        <v>0</v>
      </c>
      <c r="K338" s="7">
        <v>8.22</v>
      </c>
      <c r="L338" s="7">
        <v>12.26</v>
      </c>
      <c r="M338" s="7" t="s">
        <v>16</v>
      </c>
      <c r="N338" s="7">
        <f>VLOOKUP(M338,Sheet4!A:B,2,0)</f>
        <v>10</v>
      </c>
      <c r="O338" s="7">
        <v>0</v>
      </c>
      <c r="P338" s="7">
        <v>3.2</v>
      </c>
    </row>
    <row r="339" ht="15.3" spans="1:16">
      <c r="A339" s="12">
        <v>10.29</v>
      </c>
      <c r="B339" s="18">
        <v>4</v>
      </c>
      <c r="C339" s="14">
        <v>0</v>
      </c>
      <c r="D339" s="15">
        <v>473</v>
      </c>
      <c r="E339" s="14">
        <v>286</v>
      </c>
      <c r="F339" s="19">
        <f t="shared" si="5"/>
        <v>759</v>
      </c>
      <c r="G339" s="7">
        <v>15.45</v>
      </c>
      <c r="H339" s="7" t="s">
        <v>16</v>
      </c>
      <c r="I339" s="7">
        <f>VLOOKUP(H339,Sheet4!A:B,2,0)</f>
        <v>10</v>
      </c>
      <c r="J339" s="7">
        <v>0</v>
      </c>
      <c r="K339" s="7">
        <v>6.94</v>
      </c>
      <c r="L339" s="7">
        <v>11.46</v>
      </c>
      <c r="M339" s="7" t="s">
        <v>16</v>
      </c>
      <c r="N339" s="7">
        <f>VLOOKUP(M339,Sheet4!A:B,2,0)</f>
        <v>10</v>
      </c>
      <c r="O339" s="7">
        <v>0</v>
      </c>
      <c r="P339" s="7">
        <v>3.17</v>
      </c>
    </row>
    <row r="340" ht="15.3" spans="1:16">
      <c r="A340" s="12">
        <v>10.29</v>
      </c>
      <c r="B340" s="18">
        <v>6</v>
      </c>
      <c r="C340" s="14">
        <v>0</v>
      </c>
      <c r="D340" s="15">
        <v>493</v>
      </c>
      <c r="E340" s="14">
        <v>483</v>
      </c>
      <c r="F340" s="19">
        <f t="shared" si="5"/>
        <v>976</v>
      </c>
      <c r="G340" s="7">
        <v>15.45</v>
      </c>
      <c r="H340" s="7" t="s">
        <v>16</v>
      </c>
      <c r="I340" s="7">
        <f>VLOOKUP(H340,Sheet4!A:B,2,0)</f>
        <v>10</v>
      </c>
      <c r="J340" s="7">
        <v>0</v>
      </c>
      <c r="K340" s="7">
        <v>6.61</v>
      </c>
      <c r="L340" s="7">
        <v>11.06</v>
      </c>
      <c r="M340" s="7" t="s">
        <v>16</v>
      </c>
      <c r="N340" s="7">
        <f>VLOOKUP(M340,Sheet4!A:B,2,0)</f>
        <v>10</v>
      </c>
      <c r="O340" s="7">
        <v>0</v>
      </c>
      <c r="P340" s="7">
        <v>3.26</v>
      </c>
    </row>
    <row r="341" ht="15.3" spans="1:16">
      <c r="A341" s="12">
        <v>10.29</v>
      </c>
      <c r="B341" s="18">
        <v>8</v>
      </c>
      <c r="C341" s="14">
        <v>0</v>
      </c>
      <c r="D341" s="15">
        <v>1046</v>
      </c>
      <c r="E341" s="14">
        <v>1488</v>
      </c>
      <c r="F341" s="19">
        <f t="shared" si="5"/>
        <v>2534</v>
      </c>
      <c r="G341" s="7">
        <v>15.4</v>
      </c>
      <c r="H341" s="7" t="s">
        <v>16</v>
      </c>
      <c r="I341" s="7">
        <f>VLOOKUP(H341,Sheet4!A:B,2,0)</f>
        <v>10</v>
      </c>
      <c r="J341" s="7">
        <v>0</v>
      </c>
      <c r="K341" s="7">
        <v>8.39</v>
      </c>
      <c r="L341" s="7">
        <v>10.86</v>
      </c>
      <c r="M341" s="7" t="s">
        <v>16</v>
      </c>
      <c r="N341" s="7">
        <f>VLOOKUP(M341,Sheet4!A:B,2,0)</f>
        <v>10</v>
      </c>
      <c r="O341" s="7">
        <v>0</v>
      </c>
      <c r="P341" s="7">
        <v>3.27</v>
      </c>
    </row>
    <row r="342" ht="15.3" spans="1:16">
      <c r="A342" s="12">
        <v>10.29</v>
      </c>
      <c r="B342" s="18">
        <v>10</v>
      </c>
      <c r="C342" s="14">
        <v>0</v>
      </c>
      <c r="D342" s="15">
        <v>1652</v>
      </c>
      <c r="E342" s="14">
        <v>2124</v>
      </c>
      <c r="F342" s="19">
        <f t="shared" si="5"/>
        <v>3776</v>
      </c>
      <c r="G342" s="7">
        <v>15.8</v>
      </c>
      <c r="H342" s="7" t="s">
        <v>18</v>
      </c>
      <c r="I342" s="7">
        <f>VLOOKUP(H342,Sheet4!A:B,2,0)</f>
        <v>6</v>
      </c>
      <c r="J342" s="7">
        <v>0</v>
      </c>
      <c r="K342" s="7">
        <v>8.8</v>
      </c>
      <c r="L342" s="7">
        <v>14.51</v>
      </c>
      <c r="M342" s="7" t="s">
        <v>16</v>
      </c>
      <c r="N342" s="7">
        <f>VLOOKUP(M342,Sheet4!A:B,2,0)</f>
        <v>10</v>
      </c>
      <c r="O342" s="7">
        <v>0</v>
      </c>
      <c r="P342" s="7">
        <v>2.77</v>
      </c>
    </row>
    <row r="343" ht="15.3" spans="1:16">
      <c r="A343" s="12">
        <v>10.29</v>
      </c>
      <c r="B343" s="18">
        <v>12</v>
      </c>
      <c r="C343" s="14">
        <v>0</v>
      </c>
      <c r="D343" s="15">
        <v>2304</v>
      </c>
      <c r="E343" s="14">
        <v>2046</v>
      </c>
      <c r="F343" s="19">
        <f t="shared" si="5"/>
        <v>4350</v>
      </c>
      <c r="G343" s="7">
        <v>15.7</v>
      </c>
      <c r="H343" s="7" t="s">
        <v>16</v>
      </c>
      <c r="I343" s="7">
        <f>VLOOKUP(H343,Sheet4!A:B,2,0)</f>
        <v>10</v>
      </c>
      <c r="J343" s="7">
        <v>0</v>
      </c>
      <c r="K343" s="7">
        <v>8.5</v>
      </c>
      <c r="L343" s="7">
        <v>17.76</v>
      </c>
      <c r="M343" s="7" t="s">
        <v>16</v>
      </c>
      <c r="N343" s="7">
        <f>VLOOKUP(M343,Sheet4!A:B,2,0)</f>
        <v>10</v>
      </c>
      <c r="O343" s="7">
        <v>0</v>
      </c>
      <c r="P343" s="7">
        <v>3.02</v>
      </c>
    </row>
    <row r="344" ht="15.3" spans="1:16">
      <c r="A344" s="12">
        <v>10.29</v>
      </c>
      <c r="B344" s="18">
        <v>14</v>
      </c>
      <c r="C344" s="14">
        <v>0</v>
      </c>
      <c r="D344" s="15">
        <v>1891</v>
      </c>
      <c r="E344" s="14">
        <v>1577</v>
      </c>
      <c r="F344" s="19">
        <f t="shared" si="5"/>
        <v>3468</v>
      </c>
      <c r="G344" s="7">
        <v>15.9</v>
      </c>
      <c r="H344" s="7" t="s">
        <v>16</v>
      </c>
      <c r="I344" s="7">
        <f>VLOOKUP(H344,Sheet4!A:B,2,0)</f>
        <v>10</v>
      </c>
      <c r="J344" s="7">
        <v>0</v>
      </c>
      <c r="K344" s="7">
        <v>8.17</v>
      </c>
      <c r="L344" s="7">
        <v>19.61</v>
      </c>
      <c r="M344" s="7" t="s">
        <v>16</v>
      </c>
      <c r="N344" s="7">
        <f>VLOOKUP(M344,Sheet4!A:B,2,0)</f>
        <v>10</v>
      </c>
      <c r="O344" s="7">
        <v>0</v>
      </c>
      <c r="P344" s="7">
        <v>3.68</v>
      </c>
    </row>
    <row r="345" ht="15.3" spans="1:16">
      <c r="A345" s="12">
        <v>10.29</v>
      </c>
      <c r="B345" s="18">
        <v>16</v>
      </c>
      <c r="C345" s="14">
        <v>0</v>
      </c>
      <c r="D345" s="15">
        <v>1522</v>
      </c>
      <c r="E345" s="14">
        <v>1622</v>
      </c>
      <c r="F345" s="19">
        <f t="shared" si="5"/>
        <v>3144</v>
      </c>
      <c r="G345" s="7">
        <v>16.3</v>
      </c>
      <c r="H345" s="7" t="s">
        <v>16</v>
      </c>
      <c r="I345" s="7">
        <f>VLOOKUP(H345,Sheet4!A:B,2,0)</f>
        <v>10</v>
      </c>
      <c r="J345" s="7">
        <v>0</v>
      </c>
      <c r="K345" s="7">
        <v>6.27</v>
      </c>
      <c r="L345" s="7">
        <v>19.81</v>
      </c>
      <c r="M345" s="7" t="s">
        <v>16</v>
      </c>
      <c r="N345" s="7">
        <f>VLOOKUP(M345,Sheet4!A:B,2,0)</f>
        <v>10</v>
      </c>
      <c r="O345" s="7">
        <v>0</v>
      </c>
      <c r="P345" s="7">
        <v>3.5</v>
      </c>
    </row>
    <row r="346" ht="15.3" spans="1:16">
      <c r="A346" s="12">
        <v>10.29</v>
      </c>
      <c r="B346" s="18">
        <v>18</v>
      </c>
      <c r="C346" s="14">
        <v>0</v>
      </c>
      <c r="D346" s="15">
        <v>1455</v>
      </c>
      <c r="E346" s="14">
        <v>1577</v>
      </c>
      <c r="F346" s="19">
        <f t="shared" si="5"/>
        <v>3032</v>
      </c>
      <c r="G346" s="7">
        <v>16.7</v>
      </c>
      <c r="H346" s="7" t="s">
        <v>16</v>
      </c>
      <c r="I346" s="7">
        <f>VLOOKUP(H346,Sheet4!A:B,2,0)</f>
        <v>10</v>
      </c>
      <c r="J346" s="7">
        <v>0</v>
      </c>
      <c r="K346" s="7">
        <v>3.65</v>
      </c>
      <c r="L346" s="7">
        <v>16.71</v>
      </c>
      <c r="M346" s="7" t="s">
        <v>16</v>
      </c>
      <c r="N346" s="7">
        <f>VLOOKUP(M346,Sheet4!A:B,2,0)</f>
        <v>10</v>
      </c>
      <c r="O346" s="7">
        <v>0</v>
      </c>
      <c r="P346" s="7">
        <v>2.3</v>
      </c>
    </row>
    <row r="347" ht="15.3" spans="1:16">
      <c r="A347" s="12">
        <v>10.29</v>
      </c>
      <c r="B347" s="18">
        <v>20</v>
      </c>
      <c r="C347" s="14">
        <v>0</v>
      </c>
      <c r="D347" s="15">
        <v>1347</v>
      </c>
      <c r="E347" s="14">
        <v>1290</v>
      </c>
      <c r="F347" s="19">
        <f t="shared" si="5"/>
        <v>2637</v>
      </c>
      <c r="G347" s="7">
        <v>16.75</v>
      </c>
      <c r="H347" s="7" t="s">
        <v>16</v>
      </c>
      <c r="I347" s="7">
        <f>VLOOKUP(H347,Sheet4!A:B,2,0)</f>
        <v>10</v>
      </c>
      <c r="J347" s="7">
        <v>0</v>
      </c>
      <c r="K347" s="7">
        <v>1.86</v>
      </c>
      <c r="L347" s="7">
        <v>14.81</v>
      </c>
      <c r="M347" s="7" t="s">
        <v>16</v>
      </c>
      <c r="N347" s="7">
        <f>VLOOKUP(M347,Sheet4!A:B,2,0)</f>
        <v>10</v>
      </c>
      <c r="O347" s="7">
        <v>0</v>
      </c>
      <c r="P347" s="7">
        <v>3.15</v>
      </c>
    </row>
    <row r="348" ht="15.3" spans="1:16">
      <c r="A348" s="12">
        <v>10.29</v>
      </c>
      <c r="B348" s="18">
        <v>22</v>
      </c>
      <c r="C348" s="14">
        <v>0</v>
      </c>
      <c r="D348" s="15">
        <v>1234</v>
      </c>
      <c r="E348" s="14">
        <v>1057</v>
      </c>
      <c r="F348" s="19">
        <f t="shared" si="5"/>
        <v>2291</v>
      </c>
      <c r="G348" s="7">
        <v>17.05</v>
      </c>
      <c r="H348" s="7" t="s">
        <v>16</v>
      </c>
      <c r="I348" s="7">
        <f>VLOOKUP(H348,Sheet4!A:B,2,0)</f>
        <v>10</v>
      </c>
      <c r="J348" s="7">
        <v>0</v>
      </c>
      <c r="K348" s="7">
        <v>4.88</v>
      </c>
      <c r="L348" s="7">
        <v>13.61</v>
      </c>
      <c r="M348" s="7" t="s">
        <v>16</v>
      </c>
      <c r="N348" s="7">
        <f>VLOOKUP(M348,Sheet4!A:B,2,0)</f>
        <v>10</v>
      </c>
      <c r="O348" s="7">
        <v>0</v>
      </c>
      <c r="P348" s="7">
        <v>2.95</v>
      </c>
    </row>
    <row r="349" ht="15.3" spans="1:16">
      <c r="A349" s="12">
        <v>10.29</v>
      </c>
      <c r="B349" s="20">
        <v>24</v>
      </c>
      <c r="C349" s="14">
        <v>0</v>
      </c>
      <c r="D349" s="15">
        <v>1015</v>
      </c>
      <c r="E349" s="14">
        <v>667</v>
      </c>
      <c r="F349" s="19">
        <f t="shared" si="5"/>
        <v>1682</v>
      </c>
      <c r="G349" s="7">
        <v>16.6</v>
      </c>
      <c r="H349" s="7" t="s">
        <v>16</v>
      </c>
      <c r="I349" s="7">
        <f>VLOOKUP(H349,Sheet4!A:B,2,0)</f>
        <v>10</v>
      </c>
      <c r="J349" s="7">
        <v>0</v>
      </c>
      <c r="K349" s="7">
        <v>6.26</v>
      </c>
      <c r="L349" s="7">
        <v>12.06</v>
      </c>
      <c r="M349" s="7" t="s">
        <v>16</v>
      </c>
      <c r="N349" s="7">
        <f>VLOOKUP(M349,Sheet4!A:B,2,0)</f>
        <v>10</v>
      </c>
      <c r="O349" s="7">
        <v>0</v>
      </c>
      <c r="P349" s="7">
        <v>1.91</v>
      </c>
    </row>
    <row r="350" ht="15.3" spans="1:16">
      <c r="A350" s="12">
        <v>10.3</v>
      </c>
      <c r="B350" s="18">
        <v>2</v>
      </c>
      <c r="C350" s="14">
        <v>0</v>
      </c>
      <c r="D350" s="15">
        <v>629</v>
      </c>
      <c r="E350" s="14">
        <v>367</v>
      </c>
      <c r="F350" s="19">
        <f t="shared" si="5"/>
        <v>996</v>
      </c>
      <c r="G350" s="7">
        <v>16.2</v>
      </c>
      <c r="H350" s="7" t="s">
        <v>16</v>
      </c>
      <c r="I350" s="7">
        <f>VLOOKUP(H350,Sheet4!A:B,2,0)</f>
        <v>10</v>
      </c>
      <c r="J350" s="7">
        <v>0</v>
      </c>
      <c r="K350" s="7">
        <v>5.48</v>
      </c>
      <c r="L350" s="7">
        <v>11.01</v>
      </c>
      <c r="M350" s="7" t="s">
        <v>16</v>
      </c>
      <c r="N350" s="7">
        <f>VLOOKUP(M350,Sheet4!A:B,2,0)</f>
        <v>10</v>
      </c>
      <c r="O350" s="7">
        <v>0</v>
      </c>
      <c r="P350" s="7">
        <v>1.34</v>
      </c>
    </row>
    <row r="351" ht="15.3" spans="1:16">
      <c r="A351" s="12">
        <v>10.3</v>
      </c>
      <c r="B351" s="18">
        <v>4</v>
      </c>
      <c r="C351" s="14">
        <v>0</v>
      </c>
      <c r="D351" s="15">
        <v>466</v>
      </c>
      <c r="E351" s="14">
        <v>353</v>
      </c>
      <c r="F351" s="19">
        <f t="shared" si="5"/>
        <v>819</v>
      </c>
      <c r="G351" s="7">
        <v>16.05</v>
      </c>
      <c r="H351" s="7" t="s">
        <v>16</v>
      </c>
      <c r="I351" s="7">
        <f>VLOOKUP(H351,Sheet4!A:B,2,0)</f>
        <v>10</v>
      </c>
      <c r="J351" s="7">
        <v>0</v>
      </c>
      <c r="K351" s="7">
        <v>4.87</v>
      </c>
      <c r="L351" s="7">
        <v>10.26</v>
      </c>
      <c r="M351" s="7" t="s">
        <v>16</v>
      </c>
      <c r="N351" s="7">
        <f>VLOOKUP(M351,Sheet4!A:B,2,0)</f>
        <v>10</v>
      </c>
      <c r="O351" s="7">
        <v>0</v>
      </c>
      <c r="P351" s="7">
        <v>1.8</v>
      </c>
    </row>
    <row r="352" ht="15.3" spans="1:16">
      <c r="A352" s="12">
        <v>10.3</v>
      </c>
      <c r="B352" s="18">
        <v>6</v>
      </c>
      <c r="C352" s="14">
        <v>0</v>
      </c>
      <c r="D352" s="15">
        <v>553</v>
      </c>
      <c r="E352" s="14">
        <v>612</v>
      </c>
      <c r="F352" s="19">
        <f t="shared" si="5"/>
        <v>1165</v>
      </c>
      <c r="G352" s="7">
        <v>16</v>
      </c>
      <c r="H352" s="7" t="s">
        <v>16</v>
      </c>
      <c r="I352" s="7">
        <f>VLOOKUP(H352,Sheet4!A:B,2,0)</f>
        <v>10</v>
      </c>
      <c r="J352" s="7">
        <v>0</v>
      </c>
      <c r="K352" s="7">
        <v>3.43</v>
      </c>
      <c r="L352" s="7">
        <v>10.11</v>
      </c>
      <c r="M352" s="7" t="s">
        <v>16</v>
      </c>
      <c r="N352" s="7">
        <f>VLOOKUP(M352,Sheet4!A:B,2,0)</f>
        <v>10</v>
      </c>
      <c r="O352" s="7">
        <v>0</v>
      </c>
      <c r="P352" s="7">
        <v>1.42</v>
      </c>
    </row>
    <row r="353" ht="15.3" spans="1:16">
      <c r="A353" s="12">
        <v>10.3</v>
      </c>
      <c r="B353" s="18">
        <v>8</v>
      </c>
      <c r="C353" s="14">
        <v>0</v>
      </c>
      <c r="D353" s="15">
        <v>1045</v>
      </c>
      <c r="E353" s="14">
        <v>1443</v>
      </c>
      <c r="F353" s="19">
        <f t="shared" si="5"/>
        <v>2488</v>
      </c>
      <c r="G353" s="7">
        <v>15.45</v>
      </c>
      <c r="H353" s="7" t="s">
        <v>16</v>
      </c>
      <c r="I353" s="7">
        <f>VLOOKUP(H353,Sheet4!A:B,2,0)</f>
        <v>10</v>
      </c>
      <c r="J353" s="7">
        <v>0</v>
      </c>
      <c r="K353" s="7">
        <v>1.46</v>
      </c>
      <c r="L353" s="7">
        <v>11.01</v>
      </c>
      <c r="M353" s="7" t="s">
        <v>16</v>
      </c>
      <c r="N353" s="7">
        <f>VLOOKUP(M353,Sheet4!A:B,2,0)</f>
        <v>10</v>
      </c>
      <c r="O353" s="7">
        <v>0</v>
      </c>
      <c r="P353" s="7">
        <v>2.1</v>
      </c>
    </row>
    <row r="354" ht="15.3" spans="1:16">
      <c r="A354" s="12">
        <v>10.3</v>
      </c>
      <c r="B354" s="18">
        <v>10</v>
      </c>
      <c r="C354" s="14">
        <v>0</v>
      </c>
      <c r="D354" s="15">
        <v>1401</v>
      </c>
      <c r="E354" s="14">
        <v>1571</v>
      </c>
      <c r="F354" s="19">
        <f t="shared" si="5"/>
        <v>2972</v>
      </c>
      <c r="G354" s="7">
        <v>15.35</v>
      </c>
      <c r="H354" s="7" t="s">
        <v>16</v>
      </c>
      <c r="I354" s="7">
        <f>VLOOKUP(H354,Sheet4!A:B,2,0)</f>
        <v>10</v>
      </c>
      <c r="J354" s="7">
        <v>0</v>
      </c>
      <c r="K354" s="7">
        <v>3.2</v>
      </c>
      <c r="L354" s="7">
        <v>13.86</v>
      </c>
      <c r="M354" s="7" t="s">
        <v>16</v>
      </c>
      <c r="N354" s="7">
        <f>VLOOKUP(M354,Sheet4!A:B,2,0)</f>
        <v>10</v>
      </c>
      <c r="O354" s="7">
        <v>0</v>
      </c>
      <c r="P354" s="7">
        <v>1.01</v>
      </c>
    </row>
    <row r="355" ht="15.3" spans="1:16">
      <c r="A355" s="12">
        <v>10.3</v>
      </c>
      <c r="B355" s="18">
        <v>12</v>
      </c>
      <c r="C355" s="14">
        <v>0</v>
      </c>
      <c r="D355" s="15">
        <v>1440</v>
      </c>
      <c r="E355" s="14">
        <v>1358</v>
      </c>
      <c r="F355" s="19">
        <f t="shared" si="5"/>
        <v>2798</v>
      </c>
      <c r="G355" s="7">
        <v>14.45</v>
      </c>
      <c r="H355" s="7" t="s">
        <v>17</v>
      </c>
      <c r="I355" s="7">
        <f>VLOOKUP(H355,Sheet4!A:B,2,0)</f>
        <v>5</v>
      </c>
      <c r="J355" s="7">
        <v>0.9</v>
      </c>
      <c r="K355" s="7">
        <v>9.24</v>
      </c>
      <c r="L355" s="7">
        <v>18.01</v>
      </c>
      <c r="M355" s="7" t="s">
        <v>16</v>
      </c>
      <c r="N355" s="7">
        <f>VLOOKUP(M355,Sheet4!A:B,2,0)</f>
        <v>10</v>
      </c>
      <c r="O355" s="7">
        <v>0</v>
      </c>
      <c r="P355" s="7">
        <v>0.97</v>
      </c>
    </row>
    <row r="356" ht="15.3" spans="1:16">
      <c r="A356" s="12">
        <v>10.3</v>
      </c>
      <c r="B356" s="18">
        <v>14</v>
      </c>
      <c r="C356" s="14">
        <v>0</v>
      </c>
      <c r="D356" s="15">
        <v>1304</v>
      </c>
      <c r="E356" s="14">
        <v>1390</v>
      </c>
      <c r="F356" s="19">
        <f t="shared" si="5"/>
        <v>2694</v>
      </c>
      <c r="G356" s="7">
        <v>13.4</v>
      </c>
      <c r="H356" s="7" t="s">
        <v>17</v>
      </c>
      <c r="I356" s="7">
        <f>VLOOKUP(H356,Sheet4!A:B,2,0)</f>
        <v>5</v>
      </c>
      <c r="J356" s="7">
        <v>0.5</v>
      </c>
      <c r="K356" s="7">
        <v>10.17</v>
      </c>
      <c r="L356" s="7">
        <v>18.61</v>
      </c>
      <c r="M356" s="7" t="s">
        <v>16</v>
      </c>
      <c r="N356" s="7">
        <f>VLOOKUP(M356,Sheet4!A:B,2,0)</f>
        <v>10</v>
      </c>
      <c r="O356" s="7">
        <v>0</v>
      </c>
      <c r="P356" s="7">
        <v>1.12</v>
      </c>
    </row>
    <row r="357" ht="15.3" spans="1:16">
      <c r="A357" s="12">
        <v>10.3</v>
      </c>
      <c r="B357" s="18">
        <v>16</v>
      </c>
      <c r="C357" s="14">
        <v>0</v>
      </c>
      <c r="D357" s="15">
        <v>1376</v>
      </c>
      <c r="E357" s="14">
        <v>1443</v>
      </c>
      <c r="F357" s="19">
        <f t="shared" si="5"/>
        <v>2819</v>
      </c>
      <c r="G357" s="7">
        <v>13.55</v>
      </c>
      <c r="H357" s="7" t="s">
        <v>17</v>
      </c>
      <c r="I357" s="7">
        <f>VLOOKUP(H357,Sheet4!A:B,2,0)</f>
        <v>5</v>
      </c>
      <c r="J357" s="7">
        <v>0.5</v>
      </c>
      <c r="K357" s="7">
        <v>9.71</v>
      </c>
      <c r="L357" s="7">
        <v>18.16</v>
      </c>
      <c r="M357" s="7" t="s">
        <v>16</v>
      </c>
      <c r="N357" s="7">
        <f>VLOOKUP(M357,Sheet4!A:B,2,0)</f>
        <v>10</v>
      </c>
      <c r="O357" s="7">
        <v>0.1</v>
      </c>
      <c r="P357" s="7">
        <v>1.57</v>
      </c>
    </row>
    <row r="358" ht="15.3" spans="1:16">
      <c r="A358" s="12">
        <v>10.3</v>
      </c>
      <c r="B358" s="18">
        <v>18</v>
      </c>
      <c r="C358" s="14">
        <v>0</v>
      </c>
      <c r="D358" s="15">
        <v>1357</v>
      </c>
      <c r="E358" s="14">
        <v>1473</v>
      </c>
      <c r="F358" s="19">
        <f t="shared" si="5"/>
        <v>2830</v>
      </c>
      <c r="G358" s="7">
        <v>13.5</v>
      </c>
      <c r="H358" s="7" t="s">
        <v>16</v>
      </c>
      <c r="I358" s="7">
        <f>VLOOKUP(H358,Sheet4!A:B,2,0)</f>
        <v>10</v>
      </c>
      <c r="J358" s="7">
        <v>0.1</v>
      </c>
      <c r="K358" s="7">
        <v>9</v>
      </c>
      <c r="L358" s="7">
        <v>15.91</v>
      </c>
      <c r="M358" s="7" t="s">
        <v>19</v>
      </c>
      <c r="N358" s="7">
        <f>VLOOKUP(M358,Sheet4!A:B,2,0)</f>
        <v>8</v>
      </c>
      <c r="O358" s="7">
        <v>0</v>
      </c>
      <c r="P358" s="7">
        <v>2.5</v>
      </c>
    </row>
    <row r="359" ht="15.3" spans="1:16">
      <c r="A359" s="12">
        <v>10.3</v>
      </c>
      <c r="B359" s="18">
        <v>20</v>
      </c>
      <c r="C359" s="14">
        <v>0</v>
      </c>
      <c r="D359" s="15">
        <v>1120</v>
      </c>
      <c r="E359" s="14">
        <v>1255</v>
      </c>
      <c r="F359" s="19">
        <f t="shared" si="5"/>
        <v>2375</v>
      </c>
      <c r="G359" s="7">
        <v>13.55</v>
      </c>
      <c r="H359" s="7" t="s">
        <v>18</v>
      </c>
      <c r="I359" s="7">
        <f>VLOOKUP(H359,Sheet4!A:B,2,0)</f>
        <v>6</v>
      </c>
      <c r="J359" s="7">
        <v>0</v>
      </c>
      <c r="K359" s="7">
        <v>8</v>
      </c>
      <c r="L359" s="7">
        <v>13.91</v>
      </c>
      <c r="M359" s="7" t="s">
        <v>18</v>
      </c>
      <c r="N359" s="7">
        <f>VLOOKUP(M359,Sheet4!A:B,2,0)</f>
        <v>6</v>
      </c>
      <c r="O359" s="7">
        <v>0.1</v>
      </c>
      <c r="P359" s="7">
        <v>2.69</v>
      </c>
    </row>
    <row r="360" ht="15.3" spans="1:16">
      <c r="A360" s="12">
        <v>10.3</v>
      </c>
      <c r="B360" s="18">
        <v>22</v>
      </c>
      <c r="C360" s="14">
        <v>0</v>
      </c>
      <c r="D360" s="15">
        <v>1046</v>
      </c>
      <c r="E360" s="14">
        <v>981</v>
      </c>
      <c r="F360" s="19">
        <f t="shared" si="5"/>
        <v>2027</v>
      </c>
      <c r="G360" s="7">
        <v>13.4</v>
      </c>
      <c r="H360" s="7" t="s">
        <v>16</v>
      </c>
      <c r="I360" s="7">
        <f>VLOOKUP(H360,Sheet4!A:B,2,0)</f>
        <v>10</v>
      </c>
      <c r="J360" s="7">
        <v>0.2</v>
      </c>
      <c r="K360" s="7">
        <v>7.49</v>
      </c>
      <c r="L360" s="7">
        <v>13.11</v>
      </c>
      <c r="M360" s="7" t="s">
        <v>20</v>
      </c>
      <c r="N360" s="7">
        <f>VLOOKUP(M360,Sheet4!A:B,2,0)</f>
        <v>4</v>
      </c>
      <c r="O360" s="7">
        <v>2.3</v>
      </c>
      <c r="P360" s="7">
        <v>1.7</v>
      </c>
    </row>
    <row r="361" ht="15.3" spans="1:16">
      <c r="A361" s="12">
        <v>10.3</v>
      </c>
      <c r="B361" s="20">
        <v>24</v>
      </c>
      <c r="C361" s="14">
        <v>0</v>
      </c>
      <c r="D361" s="15">
        <v>764</v>
      </c>
      <c r="E361" s="14">
        <v>697</v>
      </c>
      <c r="F361" s="19">
        <f t="shared" si="5"/>
        <v>1461</v>
      </c>
      <c r="G361" s="7">
        <v>13.15</v>
      </c>
      <c r="H361" s="7" t="s">
        <v>16</v>
      </c>
      <c r="I361" s="7">
        <f>VLOOKUP(H361,Sheet4!A:B,2,0)</f>
        <v>10</v>
      </c>
      <c r="J361" s="7">
        <v>0.1</v>
      </c>
      <c r="K361" s="7">
        <v>7.35</v>
      </c>
      <c r="L361" s="7">
        <v>12.81</v>
      </c>
      <c r="M361" s="7" t="s">
        <v>16</v>
      </c>
      <c r="N361" s="7">
        <f>VLOOKUP(M361,Sheet4!A:B,2,0)</f>
        <v>10</v>
      </c>
      <c r="O361" s="7">
        <v>0</v>
      </c>
      <c r="P361" s="7">
        <v>1.14</v>
      </c>
    </row>
    <row r="362" ht="15.3" spans="1:16">
      <c r="A362" s="12">
        <v>10.31</v>
      </c>
      <c r="B362" s="18">
        <v>2</v>
      </c>
      <c r="C362" s="14">
        <v>0</v>
      </c>
      <c r="D362" s="15">
        <v>545</v>
      </c>
      <c r="E362" s="14">
        <v>372</v>
      </c>
      <c r="F362" s="19">
        <f t="shared" si="5"/>
        <v>917</v>
      </c>
      <c r="G362" s="7">
        <v>13.15</v>
      </c>
      <c r="H362" s="7" t="s">
        <v>16</v>
      </c>
      <c r="I362" s="7">
        <f>VLOOKUP(H362,Sheet4!A:B,2,0)</f>
        <v>10</v>
      </c>
      <c r="J362" s="7">
        <v>0</v>
      </c>
      <c r="K362" s="7">
        <v>6.69</v>
      </c>
      <c r="L362" s="7">
        <v>12.21</v>
      </c>
      <c r="M362" s="7" t="s">
        <v>16</v>
      </c>
      <c r="N362" s="7">
        <f>VLOOKUP(M362,Sheet4!A:B,2,0)</f>
        <v>10</v>
      </c>
      <c r="O362" s="7">
        <v>0</v>
      </c>
      <c r="P362" s="7">
        <v>0.75</v>
      </c>
    </row>
    <row r="363" ht="15.3" spans="1:16">
      <c r="A363" s="12">
        <v>10.31</v>
      </c>
      <c r="B363" s="18">
        <v>4</v>
      </c>
      <c r="C363" s="14">
        <v>0</v>
      </c>
      <c r="D363" s="15">
        <v>382</v>
      </c>
      <c r="E363" s="14">
        <v>229</v>
      </c>
      <c r="F363" s="19">
        <f t="shared" si="5"/>
        <v>611</v>
      </c>
      <c r="G363" s="7">
        <v>12.4</v>
      </c>
      <c r="H363" s="7" t="s">
        <v>16</v>
      </c>
      <c r="I363" s="7">
        <f>VLOOKUP(H363,Sheet4!A:B,2,0)</f>
        <v>10</v>
      </c>
      <c r="J363" s="7">
        <v>0</v>
      </c>
      <c r="K363" s="7">
        <v>6.44</v>
      </c>
      <c r="L363" s="7">
        <v>11.71</v>
      </c>
      <c r="M363" s="7" t="s">
        <v>16</v>
      </c>
      <c r="N363" s="7">
        <f>VLOOKUP(M363,Sheet4!A:B,2,0)</f>
        <v>10</v>
      </c>
      <c r="O363" s="7">
        <v>0</v>
      </c>
      <c r="P363" s="7">
        <v>2.78</v>
      </c>
    </row>
    <row r="364" ht="15.3" spans="1:16">
      <c r="A364" s="12">
        <v>10.31</v>
      </c>
      <c r="B364" s="18">
        <v>6</v>
      </c>
      <c r="C364" s="14">
        <v>0</v>
      </c>
      <c r="D364" s="15">
        <v>432</v>
      </c>
      <c r="E364" s="14">
        <v>373</v>
      </c>
      <c r="F364" s="19">
        <f t="shared" si="5"/>
        <v>805</v>
      </c>
      <c r="G364" s="7">
        <v>11.95</v>
      </c>
      <c r="H364" s="7" t="s">
        <v>16</v>
      </c>
      <c r="I364" s="7">
        <f>VLOOKUP(H364,Sheet4!A:B,2,0)</f>
        <v>10</v>
      </c>
      <c r="J364" s="7">
        <v>0</v>
      </c>
      <c r="K364" s="7">
        <v>6.75</v>
      </c>
      <c r="L364" s="7">
        <v>11.06</v>
      </c>
      <c r="M364" s="7" t="s">
        <v>16</v>
      </c>
      <c r="N364" s="7">
        <f>VLOOKUP(M364,Sheet4!A:B,2,0)</f>
        <v>10</v>
      </c>
      <c r="O364" s="7">
        <v>0</v>
      </c>
      <c r="P364" s="7">
        <v>2.65</v>
      </c>
    </row>
    <row r="365" ht="15.3" spans="1:16">
      <c r="A365" s="12">
        <v>10.31</v>
      </c>
      <c r="B365" s="18">
        <v>8</v>
      </c>
      <c r="C365" s="14">
        <v>0</v>
      </c>
      <c r="D365" s="15">
        <v>894</v>
      </c>
      <c r="E365" s="14">
        <v>795</v>
      </c>
      <c r="F365" s="19">
        <f t="shared" si="5"/>
        <v>1689</v>
      </c>
      <c r="G365" s="7">
        <v>11.95</v>
      </c>
      <c r="H365" s="7" t="s">
        <v>16</v>
      </c>
      <c r="I365" s="7">
        <f>VLOOKUP(H365,Sheet4!A:B,2,0)</f>
        <v>10</v>
      </c>
      <c r="J365" s="7">
        <v>0</v>
      </c>
      <c r="K365" s="7">
        <v>5.96</v>
      </c>
      <c r="L365" s="7">
        <v>11.76</v>
      </c>
      <c r="M365" s="7" t="s">
        <v>18</v>
      </c>
      <c r="N365" s="7">
        <f>VLOOKUP(M365,Sheet4!A:B,2,0)</f>
        <v>6</v>
      </c>
      <c r="O365" s="7">
        <v>0</v>
      </c>
      <c r="P365" s="7">
        <v>2</v>
      </c>
    </row>
    <row r="366" ht="15.3" spans="1:16">
      <c r="A366" s="12">
        <v>10.31</v>
      </c>
      <c r="B366" s="18">
        <v>10</v>
      </c>
      <c r="C366" s="14">
        <v>0</v>
      </c>
      <c r="D366" s="15">
        <v>1073</v>
      </c>
      <c r="E366" s="14">
        <v>943</v>
      </c>
      <c r="F366" s="19">
        <f t="shared" si="5"/>
        <v>2016</v>
      </c>
      <c r="G366" s="7">
        <v>11.75</v>
      </c>
      <c r="H366" s="7" t="s">
        <v>16</v>
      </c>
      <c r="I366" s="7">
        <f>VLOOKUP(H366,Sheet4!A:B,2,0)</f>
        <v>10</v>
      </c>
      <c r="J366" s="7">
        <v>0</v>
      </c>
      <c r="K366" s="7">
        <v>5.07</v>
      </c>
      <c r="L366" s="7">
        <v>13.81</v>
      </c>
      <c r="M366" s="7" t="s">
        <v>16</v>
      </c>
      <c r="N366" s="7">
        <f>VLOOKUP(M366,Sheet4!A:B,2,0)</f>
        <v>10</v>
      </c>
      <c r="O366" s="7">
        <v>0.1</v>
      </c>
      <c r="P366" s="7">
        <v>2.56</v>
      </c>
    </row>
    <row r="367" ht="15.3" spans="1:16">
      <c r="A367" s="12">
        <v>10.31</v>
      </c>
      <c r="B367" s="18">
        <v>12</v>
      </c>
      <c r="C367" s="14">
        <v>0</v>
      </c>
      <c r="D367" s="15">
        <v>1290</v>
      </c>
      <c r="E367" s="14">
        <v>916</v>
      </c>
      <c r="F367" s="19">
        <f t="shared" si="5"/>
        <v>2206</v>
      </c>
      <c r="G367" s="7">
        <v>12.4</v>
      </c>
      <c r="H367" s="7" t="s">
        <v>16</v>
      </c>
      <c r="I367" s="7">
        <f>VLOOKUP(H367,Sheet4!A:B,2,0)</f>
        <v>10</v>
      </c>
      <c r="J367" s="7">
        <v>0</v>
      </c>
      <c r="K367" s="7">
        <v>3</v>
      </c>
      <c r="L367" s="7">
        <v>15.41</v>
      </c>
      <c r="M367" s="7" t="s">
        <v>16</v>
      </c>
      <c r="N367" s="7">
        <f>VLOOKUP(M367,Sheet4!A:B,2,0)</f>
        <v>10</v>
      </c>
      <c r="O367" s="7">
        <v>0</v>
      </c>
      <c r="P367" s="7">
        <v>2.21</v>
      </c>
    </row>
    <row r="368" ht="15.3" spans="1:16">
      <c r="A368" s="12">
        <v>10.31</v>
      </c>
      <c r="B368" s="18">
        <v>14</v>
      </c>
      <c r="C368" s="14">
        <v>0</v>
      </c>
      <c r="D368" s="15">
        <v>999</v>
      </c>
      <c r="E368" s="14">
        <v>927</v>
      </c>
      <c r="F368" s="19">
        <f t="shared" si="5"/>
        <v>1926</v>
      </c>
      <c r="G368" s="7">
        <v>12.8</v>
      </c>
      <c r="H368" s="7" t="s">
        <v>16</v>
      </c>
      <c r="I368" s="7">
        <f>VLOOKUP(H368,Sheet4!A:B,2,0)</f>
        <v>10</v>
      </c>
      <c r="J368" s="7">
        <v>0</v>
      </c>
      <c r="K368" s="7">
        <v>3.6</v>
      </c>
      <c r="L368" s="7">
        <v>16.61</v>
      </c>
      <c r="M368" s="7" t="s">
        <v>16</v>
      </c>
      <c r="N368" s="7">
        <f>VLOOKUP(M368,Sheet4!A:B,2,0)</f>
        <v>10</v>
      </c>
      <c r="O368" s="7">
        <v>0</v>
      </c>
      <c r="P368" s="7">
        <v>2.8</v>
      </c>
    </row>
    <row r="369" ht="15.3" spans="1:16">
      <c r="A369" s="12">
        <v>10.31</v>
      </c>
      <c r="B369" s="18">
        <v>16</v>
      </c>
      <c r="C369" s="14">
        <v>0</v>
      </c>
      <c r="D369" s="15">
        <v>1350</v>
      </c>
      <c r="E369" s="14">
        <v>1177</v>
      </c>
      <c r="F369" s="19">
        <f t="shared" si="5"/>
        <v>2527</v>
      </c>
      <c r="G369" s="7">
        <v>12.9</v>
      </c>
      <c r="H369" s="7" t="s">
        <v>16</v>
      </c>
      <c r="I369" s="7">
        <f>VLOOKUP(H369,Sheet4!A:B,2,0)</f>
        <v>10</v>
      </c>
      <c r="J369" s="7">
        <v>0</v>
      </c>
      <c r="K369" s="7">
        <v>5.36</v>
      </c>
      <c r="L369" s="7">
        <v>16.26</v>
      </c>
      <c r="M369" s="7" t="s">
        <v>16</v>
      </c>
      <c r="N369" s="7">
        <f>VLOOKUP(M369,Sheet4!A:B,2,0)</f>
        <v>10</v>
      </c>
      <c r="O369" s="7">
        <v>0</v>
      </c>
      <c r="P369" s="7">
        <v>3.15</v>
      </c>
    </row>
    <row r="370" ht="15.3" spans="1:16">
      <c r="A370" s="12">
        <v>10.31</v>
      </c>
      <c r="B370" s="18">
        <v>18</v>
      </c>
      <c r="C370" s="14">
        <v>0</v>
      </c>
      <c r="D370" s="15">
        <v>1358</v>
      </c>
      <c r="E370" s="14">
        <v>1303</v>
      </c>
      <c r="F370" s="19">
        <f t="shared" si="5"/>
        <v>2661</v>
      </c>
      <c r="G370" s="7">
        <v>13.4</v>
      </c>
      <c r="H370" s="7" t="s">
        <v>16</v>
      </c>
      <c r="I370" s="7">
        <f>VLOOKUP(H370,Sheet4!A:B,2,0)</f>
        <v>10</v>
      </c>
      <c r="J370" s="7">
        <v>0</v>
      </c>
      <c r="K370" s="7">
        <v>6.2</v>
      </c>
      <c r="L370" s="7">
        <v>14.16</v>
      </c>
      <c r="M370" s="7" t="s">
        <v>16</v>
      </c>
      <c r="N370" s="7">
        <f>VLOOKUP(M370,Sheet4!A:B,2,0)</f>
        <v>10</v>
      </c>
      <c r="O370" s="7">
        <v>0</v>
      </c>
      <c r="P370" s="7">
        <v>2.06</v>
      </c>
    </row>
    <row r="371" ht="15.3" spans="1:16">
      <c r="A371" s="12">
        <v>10.31</v>
      </c>
      <c r="B371" s="18">
        <v>20</v>
      </c>
      <c r="C371" s="14">
        <v>0</v>
      </c>
      <c r="D371" s="15">
        <v>1199</v>
      </c>
      <c r="E371" s="14">
        <v>1146</v>
      </c>
      <c r="F371" s="19">
        <f t="shared" si="5"/>
        <v>2345</v>
      </c>
      <c r="G371" s="7">
        <v>14.35</v>
      </c>
      <c r="H371" s="7" t="s">
        <v>16</v>
      </c>
      <c r="I371" s="7">
        <f>VLOOKUP(H371,Sheet4!A:B,2,0)</f>
        <v>10</v>
      </c>
      <c r="J371" s="7">
        <v>0</v>
      </c>
      <c r="K371" s="7">
        <v>7.85</v>
      </c>
      <c r="L371" s="7">
        <v>12.31</v>
      </c>
      <c r="M371" s="7" t="s">
        <v>19</v>
      </c>
      <c r="N371" s="7">
        <f>VLOOKUP(M371,Sheet4!A:B,2,0)</f>
        <v>8</v>
      </c>
      <c r="O371" s="7">
        <v>0</v>
      </c>
      <c r="P371" s="7">
        <v>1.31</v>
      </c>
    </row>
    <row r="372" ht="15.3" spans="1:16">
      <c r="A372" s="12">
        <v>10.31</v>
      </c>
      <c r="B372" s="18">
        <v>22</v>
      </c>
      <c r="C372" s="14">
        <v>0</v>
      </c>
      <c r="D372" s="15">
        <v>1049</v>
      </c>
      <c r="E372" s="14">
        <v>893</v>
      </c>
      <c r="F372" s="19">
        <f t="shared" si="5"/>
        <v>1942</v>
      </c>
      <c r="G372" s="7">
        <v>14.5</v>
      </c>
      <c r="H372" s="7" t="s">
        <v>16</v>
      </c>
      <c r="I372" s="7">
        <f>VLOOKUP(H372,Sheet4!A:B,2,0)</f>
        <v>10</v>
      </c>
      <c r="J372" s="7">
        <v>0</v>
      </c>
      <c r="K372" s="7">
        <v>7.84</v>
      </c>
      <c r="L372" s="7">
        <v>10.96</v>
      </c>
      <c r="M372" s="7" t="s">
        <v>16</v>
      </c>
      <c r="N372" s="7">
        <f>VLOOKUP(M372,Sheet4!A:B,2,0)</f>
        <v>10</v>
      </c>
      <c r="O372" s="7">
        <v>0</v>
      </c>
      <c r="P372" s="7">
        <v>2.07</v>
      </c>
    </row>
    <row r="373" ht="15.3" spans="1:16">
      <c r="A373" s="12">
        <v>10.31</v>
      </c>
      <c r="B373" s="20">
        <v>24</v>
      </c>
      <c r="C373" s="14">
        <v>0</v>
      </c>
      <c r="D373" s="15">
        <v>872</v>
      </c>
      <c r="E373" s="14">
        <v>681</v>
      </c>
      <c r="F373" s="19">
        <f t="shared" si="5"/>
        <v>1553</v>
      </c>
      <c r="G373" s="7">
        <v>13.65</v>
      </c>
      <c r="H373" s="7" t="s">
        <v>16</v>
      </c>
      <c r="I373" s="7">
        <f>VLOOKUP(H373,Sheet4!A:B,2,0)</f>
        <v>10</v>
      </c>
      <c r="J373" s="7">
        <v>0</v>
      </c>
      <c r="K373" s="7">
        <v>8.79</v>
      </c>
      <c r="L373" s="7">
        <v>10.21</v>
      </c>
      <c r="M373" s="7" t="s">
        <v>16</v>
      </c>
      <c r="N373" s="7">
        <f>VLOOKUP(M373,Sheet4!A:B,2,0)</f>
        <v>10</v>
      </c>
      <c r="O373" s="7">
        <v>0</v>
      </c>
      <c r="P373" s="7">
        <v>2.47</v>
      </c>
    </row>
    <row r="374" ht="15.3" spans="1:16">
      <c r="B374" s="17"/>
      <c r="G374" s="7"/>
      <c r="H374" s="7"/>
      <c r="I374" s="7"/>
      <c r="J374" s="7"/>
      <c r="K374" s="7"/>
    </row>
    <row r="375" spans="1:16">
      <c r="B375" s="17"/>
    </row>
    <row r="376" spans="1:16">
      <c r="B376" s="17"/>
    </row>
    <row r="377" spans="1:16">
      <c r="B377" s="17"/>
    </row>
    <row r="378" spans="1:16">
      <c r="B378" s="17"/>
    </row>
    <row r="379" spans="1:16">
      <c r="B379" s="17"/>
    </row>
    <row r="380" spans="1:16">
      <c r="B380" s="17"/>
    </row>
    <row r="381" spans="1:16">
      <c r="B381" s="17"/>
    </row>
    <row r="382" spans="1:16">
      <c r="B382" s="17"/>
    </row>
    <row r="383" spans="1:16">
      <c r="B383" s="17"/>
    </row>
    <row r="384" spans="1:16">
      <c r="B384" s="17"/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746"/>
  <sheetViews>
    <sheetView workbookViewId="0">
      <selection activeCell="H3" sqref="H3"/>
    </sheetView>
  </sheetViews>
  <sheetFormatPr defaultColWidth="8.89380530973451" defaultRowHeight="14.3" outlineLevelCol="7"/>
  <cols>
    <col min="1" max="1" width="14.858407079646" customWidth="1"/>
    <col min="2" max="2" width="12.5044247787611" style="11" customWidth="1"/>
  </cols>
  <sheetData>
    <row r="1" ht="15.3" spans="1:8">
      <c r="A1" s="7" t="s">
        <v>22</v>
      </c>
      <c r="B1" s="8" t="s">
        <v>0</v>
      </c>
      <c r="C1" s="10" t="s">
        <v>23</v>
      </c>
      <c r="D1" s="7" t="s">
        <v>24</v>
      </c>
      <c r="E1" s="7" t="s">
        <v>7</v>
      </c>
      <c r="F1" s="7" t="s">
        <v>25</v>
      </c>
      <c r="G1" s="7" t="s">
        <v>26</v>
      </c>
      <c r="H1" s="7"/>
    </row>
    <row r="2" ht="15.3" hidden="1" spans="1:8">
      <c r="A2" s="7" t="s">
        <v>27</v>
      </c>
      <c r="B2" s="8">
        <v>10.01</v>
      </c>
      <c r="C2" s="10">
        <v>1</v>
      </c>
      <c r="D2" s="7">
        <v>23.55</v>
      </c>
      <c r="E2" s="7" t="s">
        <v>16</v>
      </c>
      <c r="F2" s="7">
        <v>0</v>
      </c>
      <c r="G2" s="7">
        <v>4.63</v>
      </c>
      <c r="H2" s="7"/>
    </row>
    <row r="3" ht="15.3" spans="1:8">
      <c r="A3" s="7" t="s">
        <v>27</v>
      </c>
      <c r="B3" s="8">
        <v>10.01</v>
      </c>
      <c r="C3" s="10">
        <v>2</v>
      </c>
      <c r="D3" s="7">
        <v>23.5</v>
      </c>
      <c r="E3" s="7" t="s">
        <v>16</v>
      </c>
      <c r="F3" s="7">
        <v>0</v>
      </c>
      <c r="G3" s="7">
        <v>4.92</v>
      </c>
      <c r="H3" s="7"/>
    </row>
    <row r="4" ht="15.3" hidden="1" spans="1:8">
      <c r="A4" s="7" t="s">
        <v>27</v>
      </c>
      <c r="B4" s="8">
        <v>45931</v>
      </c>
      <c r="C4" s="10">
        <v>3</v>
      </c>
      <c r="D4" s="7">
        <v>23.35</v>
      </c>
      <c r="E4" s="7" t="s">
        <v>16</v>
      </c>
      <c r="F4" s="7">
        <v>0</v>
      </c>
      <c r="G4" s="7">
        <v>5.51</v>
      </c>
      <c r="H4" s="7"/>
    </row>
    <row r="5" ht="15.3" spans="1:8">
      <c r="A5" s="7" t="s">
        <v>27</v>
      </c>
      <c r="B5" s="8">
        <v>45931</v>
      </c>
      <c r="C5" s="10">
        <v>4</v>
      </c>
      <c r="D5" s="7">
        <v>23.2</v>
      </c>
      <c r="E5" s="7" t="s">
        <v>16</v>
      </c>
      <c r="F5" s="7">
        <v>0</v>
      </c>
      <c r="G5" s="7">
        <v>4.72</v>
      </c>
      <c r="H5" s="7"/>
    </row>
    <row r="6" ht="15.3" hidden="1" spans="1:8">
      <c r="A6" s="7" t="s">
        <v>27</v>
      </c>
      <c r="B6" s="8">
        <v>45931</v>
      </c>
      <c r="C6" s="10">
        <v>5</v>
      </c>
      <c r="D6" s="7">
        <v>23.05</v>
      </c>
      <c r="E6" s="7" t="s">
        <v>16</v>
      </c>
      <c r="F6" s="7">
        <v>0</v>
      </c>
      <c r="G6" s="7">
        <v>4.46</v>
      </c>
      <c r="H6" s="7"/>
    </row>
    <row r="7" ht="15.3" spans="1:8">
      <c r="A7" s="7" t="s">
        <v>27</v>
      </c>
      <c r="B7" s="8">
        <v>45931</v>
      </c>
      <c r="C7" s="10">
        <v>6</v>
      </c>
      <c r="D7" s="7">
        <v>22.85</v>
      </c>
      <c r="E7" s="7" t="s">
        <v>16</v>
      </c>
      <c r="F7" s="7">
        <v>0</v>
      </c>
      <c r="G7" s="7">
        <v>4.32</v>
      </c>
      <c r="H7" s="7"/>
    </row>
    <row r="8" ht="15.3" hidden="1" spans="1:8">
      <c r="A8" s="7" t="s">
        <v>27</v>
      </c>
      <c r="B8" s="8">
        <v>45931</v>
      </c>
      <c r="C8" s="10">
        <v>7</v>
      </c>
      <c r="D8" s="7">
        <v>22.6</v>
      </c>
      <c r="E8" s="7" t="s">
        <v>16</v>
      </c>
      <c r="F8" s="7">
        <v>0</v>
      </c>
      <c r="G8" s="7">
        <v>4.38</v>
      </c>
      <c r="H8" s="7"/>
    </row>
    <row r="9" ht="15.3" spans="1:8">
      <c r="A9" s="7" t="s">
        <v>27</v>
      </c>
      <c r="B9" s="8">
        <v>45931</v>
      </c>
      <c r="C9" s="10">
        <v>8</v>
      </c>
      <c r="D9" s="7">
        <v>22.45</v>
      </c>
      <c r="E9" s="7" t="s">
        <v>16</v>
      </c>
      <c r="F9" s="7">
        <v>0</v>
      </c>
      <c r="G9" s="7">
        <v>4.27</v>
      </c>
      <c r="H9" s="7"/>
    </row>
    <row r="10" ht="15.3" hidden="1" spans="1:8">
      <c r="A10" s="7" t="s">
        <v>27</v>
      </c>
      <c r="B10" s="8">
        <v>45931</v>
      </c>
      <c r="C10" s="10">
        <v>9</v>
      </c>
      <c r="D10" s="7">
        <v>23</v>
      </c>
      <c r="E10" s="7" t="s">
        <v>16</v>
      </c>
      <c r="F10" s="7">
        <v>0</v>
      </c>
      <c r="G10" s="7">
        <v>4.51</v>
      </c>
      <c r="H10" s="7"/>
    </row>
    <row r="11" ht="15.3" spans="1:8">
      <c r="A11" s="7" t="s">
        <v>27</v>
      </c>
      <c r="B11" s="8">
        <v>45931</v>
      </c>
      <c r="C11" s="10">
        <v>10</v>
      </c>
      <c r="D11" s="7">
        <v>22.8</v>
      </c>
      <c r="E11" s="7" t="s">
        <v>16</v>
      </c>
      <c r="F11" s="7">
        <v>0</v>
      </c>
      <c r="G11" s="7">
        <v>3.93</v>
      </c>
      <c r="H11" s="7"/>
    </row>
    <row r="12" ht="15.3" hidden="1" spans="1:8">
      <c r="A12" s="7" t="s">
        <v>27</v>
      </c>
      <c r="B12" s="8">
        <v>45931</v>
      </c>
      <c r="C12" s="10">
        <v>11</v>
      </c>
      <c r="D12" s="7">
        <v>22.6</v>
      </c>
      <c r="E12" s="7" t="s">
        <v>16</v>
      </c>
      <c r="F12" s="7">
        <v>0</v>
      </c>
      <c r="G12" s="7">
        <v>3.4</v>
      </c>
      <c r="H12" s="7"/>
    </row>
    <row r="13" ht="15.3" spans="1:8">
      <c r="A13" s="7" t="s">
        <v>27</v>
      </c>
      <c r="B13" s="8">
        <v>45931</v>
      </c>
      <c r="C13" s="10">
        <v>12</v>
      </c>
      <c r="D13" s="7">
        <v>22.5</v>
      </c>
      <c r="E13" s="7" t="s">
        <v>16</v>
      </c>
      <c r="F13" s="7">
        <v>0</v>
      </c>
      <c r="G13" s="7">
        <v>3.58</v>
      </c>
      <c r="H13" s="7"/>
    </row>
    <row r="14" ht="15.3" hidden="1" spans="1:8">
      <c r="A14" s="7" t="s">
        <v>27</v>
      </c>
      <c r="B14" s="8">
        <v>45931</v>
      </c>
      <c r="C14" s="10">
        <v>13</v>
      </c>
      <c r="D14" s="7">
        <v>22.8</v>
      </c>
      <c r="E14" s="7" t="s">
        <v>16</v>
      </c>
      <c r="F14" s="7">
        <v>0</v>
      </c>
      <c r="G14" s="7">
        <v>3.47</v>
      </c>
      <c r="H14" s="7"/>
    </row>
    <row r="15" ht="15.3" spans="1:8">
      <c r="A15" s="7" t="s">
        <v>27</v>
      </c>
      <c r="B15" s="8">
        <v>45931</v>
      </c>
      <c r="C15" s="10">
        <v>14</v>
      </c>
      <c r="D15" s="7">
        <v>23</v>
      </c>
      <c r="E15" s="7" t="s">
        <v>16</v>
      </c>
      <c r="F15" s="7">
        <v>0</v>
      </c>
      <c r="G15" s="7">
        <v>3.43</v>
      </c>
      <c r="H15" s="7"/>
    </row>
    <row r="16" ht="15.3" hidden="1" spans="1:8">
      <c r="A16" s="7" t="s">
        <v>27</v>
      </c>
      <c r="B16" s="8">
        <v>45931</v>
      </c>
      <c r="C16" s="10">
        <v>15</v>
      </c>
      <c r="D16" s="7">
        <v>23.5</v>
      </c>
      <c r="E16" s="7" t="s">
        <v>16</v>
      </c>
      <c r="F16" s="7">
        <v>0</v>
      </c>
      <c r="G16" s="7">
        <v>2.72</v>
      </c>
      <c r="H16" s="7"/>
    </row>
    <row r="17" ht="15.3" spans="1:8">
      <c r="A17" s="7" t="s">
        <v>27</v>
      </c>
      <c r="B17" s="8">
        <v>45931</v>
      </c>
      <c r="C17" s="10">
        <v>16</v>
      </c>
      <c r="D17" s="7">
        <v>23.45</v>
      </c>
      <c r="E17" s="7" t="s">
        <v>16</v>
      </c>
      <c r="F17" s="7">
        <v>0</v>
      </c>
      <c r="G17" s="7">
        <v>3.8</v>
      </c>
      <c r="H17" s="7"/>
    </row>
    <row r="18" ht="15.3" hidden="1" spans="1:8">
      <c r="A18" s="7" t="s">
        <v>27</v>
      </c>
      <c r="B18" s="8">
        <v>45931</v>
      </c>
      <c r="C18" s="10">
        <v>17</v>
      </c>
      <c r="D18" s="7">
        <v>23.3</v>
      </c>
      <c r="E18" s="7" t="s">
        <v>16</v>
      </c>
      <c r="F18" s="7">
        <v>0</v>
      </c>
      <c r="G18" s="7">
        <v>4.65</v>
      </c>
      <c r="H18" s="7"/>
    </row>
    <row r="19" ht="15.3" spans="1:8">
      <c r="A19" s="7" t="s">
        <v>27</v>
      </c>
      <c r="B19" s="8">
        <v>45931</v>
      </c>
      <c r="C19" s="10">
        <v>18</v>
      </c>
      <c r="D19" s="7">
        <v>23.05</v>
      </c>
      <c r="E19" s="7" t="s">
        <v>16</v>
      </c>
      <c r="F19" s="7">
        <v>0</v>
      </c>
      <c r="G19" s="7">
        <v>4.46</v>
      </c>
      <c r="H19" s="7"/>
    </row>
    <row r="20" ht="15.3" hidden="1" spans="1:8">
      <c r="A20" s="7" t="s">
        <v>27</v>
      </c>
      <c r="B20" s="8">
        <v>45931</v>
      </c>
      <c r="C20" s="10">
        <v>19</v>
      </c>
      <c r="D20" s="7">
        <v>22.95</v>
      </c>
      <c r="E20" s="7" t="s">
        <v>16</v>
      </c>
      <c r="F20" s="7">
        <v>0</v>
      </c>
      <c r="G20" s="7">
        <v>3.78</v>
      </c>
      <c r="H20" s="7"/>
    </row>
    <row r="21" ht="15.3" spans="1:8">
      <c r="A21" s="7" t="s">
        <v>27</v>
      </c>
      <c r="B21" s="8">
        <v>45931</v>
      </c>
      <c r="C21" s="10">
        <v>20</v>
      </c>
      <c r="D21" s="7">
        <v>22.95</v>
      </c>
      <c r="E21" s="7" t="s">
        <v>16</v>
      </c>
      <c r="F21" s="7">
        <v>0</v>
      </c>
      <c r="G21" s="7">
        <v>2.48</v>
      </c>
      <c r="H21" s="7"/>
    </row>
    <row r="22" ht="15.3" hidden="1" spans="1:8">
      <c r="A22" s="7" t="s">
        <v>27</v>
      </c>
      <c r="B22" s="8">
        <v>45931</v>
      </c>
      <c r="C22" s="10">
        <v>21</v>
      </c>
      <c r="D22" s="7">
        <v>23.05</v>
      </c>
      <c r="E22" s="7" t="s">
        <v>16</v>
      </c>
      <c r="F22" s="7">
        <v>0</v>
      </c>
      <c r="G22" s="7">
        <v>1.74</v>
      </c>
      <c r="H22" s="7"/>
    </row>
    <row r="23" ht="15.3" spans="1:8">
      <c r="A23" s="7" t="s">
        <v>27</v>
      </c>
      <c r="B23" s="8">
        <v>45931</v>
      </c>
      <c r="C23" s="10">
        <v>22</v>
      </c>
      <c r="D23" s="7">
        <v>22.85</v>
      </c>
      <c r="E23" s="7" t="s">
        <v>16</v>
      </c>
      <c r="F23" s="7">
        <v>0</v>
      </c>
      <c r="G23" s="7">
        <v>1.59</v>
      </c>
      <c r="H23" s="7"/>
    </row>
    <row r="24" ht="15.3" hidden="1" spans="1:8">
      <c r="A24" s="7" t="s">
        <v>27</v>
      </c>
      <c r="B24" s="8">
        <v>45931</v>
      </c>
      <c r="C24" s="10">
        <v>23</v>
      </c>
      <c r="D24" s="7">
        <v>22.8</v>
      </c>
      <c r="E24" s="7" t="s">
        <v>16</v>
      </c>
      <c r="F24" s="7">
        <v>0</v>
      </c>
      <c r="G24" s="7">
        <v>2.04</v>
      </c>
      <c r="H24" s="7"/>
    </row>
    <row r="25" ht="15.3" spans="1:8">
      <c r="A25" s="7" t="s">
        <v>27</v>
      </c>
      <c r="B25" s="8">
        <v>45931</v>
      </c>
      <c r="C25" s="10">
        <v>24</v>
      </c>
      <c r="D25" s="7">
        <v>22.9</v>
      </c>
      <c r="E25" s="7" t="s">
        <v>16</v>
      </c>
      <c r="F25" s="7">
        <v>0</v>
      </c>
      <c r="G25" s="7">
        <v>2.59</v>
      </c>
      <c r="H25" s="7"/>
    </row>
    <row r="26" ht="15.3" hidden="1" spans="1:8">
      <c r="A26" s="7" t="s">
        <v>27</v>
      </c>
      <c r="B26" s="8">
        <v>45932</v>
      </c>
      <c r="C26" s="10">
        <v>1</v>
      </c>
      <c r="D26" s="7">
        <v>22.9</v>
      </c>
      <c r="E26" s="7" t="s">
        <v>16</v>
      </c>
      <c r="F26" s="7">
        <v>0</v>
      </c>
      <c r="G26" s="7">
        <v>3.06</v>
      </c>
      <c r="H26" s="7"/>
    </row>
    <row r="27" ht="15.3" spans="1:8">
      <c r="A27" s="7" t="s">
        <v>27</v>
      </c>
      <c r="B27" s="8">
        <v>45932</v>
      </c>
      <c r="C27" s="10">
        <v>2</v>
      </c>
      <c r="D27" s="7">
        <v>22.95</v>
      </c>
      <c r="E27" s="7" t="s">
        <v>16</v>
      </c>
      <c r="F27" s="7">
        <v>0</v>
      </c>
      <c r="G27" s="7">
        <v>2.43</v>
      </c>
      <c r="H27" s="7"/>
    </row>
    <row r="28" ht="15.3" hidden="1" spans="1:8">
      <c r="A28" s="7" t="s">
        <v>27</v>
      </c>
      <c r="B28" s="8">
        <v>45932</v>
      </c>
      <c r="C28" s="10">
        <v>3</v>
      </c>
      <c r="D28" s="7">
        <v>22.9</v>
      </c>
      <c r="E28" s="7" t="s">
        <v>16</v>
      </c>
      <c r="F28" s="7">
        <v>0</v>
      </c>
      <c r="G28" s="7">
        <v>3.04</v>
      </c>
      <c r="H28" s="7"/>
    </row>
    <row r="29" ht="15.3" spans="1:8">
      <c r="A29" s="7" t="s">
        <v>27</v>
      </c>
      <c r="B29" s="8">
        <v>45932</v>
      </c>
      <c r="C29" s="10">
        <v>4</v>
      </c>
      <c r="D29" s="7">
        <v>23.05</v>
      </c>
      <c r="E29" s="7" t="s">
        <v>16</v>
      </c>
      <c r="F29" s="7">
        <v>0</v>
      </c>
      <c r="G29" s="7">
        <v>2.83</v>
      </c>
      <c r="H29" s="7"/>
    </row>
    <row r="30" ht="15.3" hidden="1" spans="1:8">
      <c r="A30" s="7" t="s">
        <v>27</v>
      </c>
      <c r="B30" s="8">
        <v>45932</v>
      </c>
      <c r="C30" s="10">
        <v>5</v>
      </c>
      <c r="D30" s="7">
        <v>23.6</v>
      </c>
      <c r="E30" s="7" t="s">
        <v>16</v>
      </c>
      <c r="F30" s="7">
        <v>0</v>
      </c>
      <c r="G30" s="7">
        <v>6.36</v>
      </c>
      <c r="H30" s="7"/>
    </row>
    <row r="31" ht="15.3" spans="1:8">
      <c r="A31" s="7" t="s">
        <v>27</v>
      </c>
      <c r="B31" s="8">
        <v>45932</v>
      </c>
      <c r="C31" s="10">
        <v>6</v>
      </c>
      <c r="D31" s="7">
        <v>23.35</v>
      </c>
      <c r="E31" s="7" t="s">
        <v>16</v>
      </c>
      <c r="F31" s="7">
        <v>0</v>
      </c>
      <c r="G31" s="7">
        <v>7.9</v>
      </c>
      <c r="H31" s="7"/>
    </row>
    <row r="32" ht="15.3" hidden="1" spans="1:8">
      <c r="A32" s="7" t="s">
        <v>27</v>
      </c>
      <c r="B32" s="8">
        <v>45932</v>
      </c>
      <c r="C32" s="10">
        <v>7</v>
      </c>
      <c r="D32" s="7">
        <v>23.35</v>
      </c>
      <c r="E32" s="7" t="s">
        <v>16</v>
      </c>
      <c r="F32" s="7">
        <v>0</v>
      </c>
      <c r="G32" s="7">
        <v>8.3</v>
      </c>
      <c r="H32" s="7"/>
    </row>
    <row r="33" ht="15.3" spans="1:8">
      <c r="A33" s="7" t="s">
        <v>27</v>
      </c>
      <c r="B33" s="8">
        <v>45932</v>
      </c>
      <c r="C33" s="10">
        <v>8</v>
      </c>
      <c r="D33" s="7">
        <v>23.2</v>
      </c>
      <c r="E33" s="7" t="s">
        <v>16</v>
      </c>
      <c r="F33" s="7">
        <v>0</v>
      </c>
      <c r="G33" s="7">
        <v>6.39</v>
      </c>
      <c r="H33" s="7"/>
    </row>
    <row r="34" ht="15.3" hidden="1" spans="1:8">
      <c r="A34" s="7" t="s">
        <v>27</v>
      </c>
      <c r="B34" s="8">
        <v>45932</v>
      </c>
      <c r="C34" s="10">
        <v>9</v>
      </c>
      <c r="D34" s="7">
        <v>22.3</v>
      </c>
      <c r="E34" s="7" t="s">
        <v>16</v>
      </c>
      <c r="F34" s="7">
        <v>0</v>
      </c>
      <c r="G34" s="7">
        <v>4.61</v>
      </c>
      <c r="H34" s="7"/>
    </row>
    <row r="35" ht="15.3" spans="1:8">
      <c r="A35" s="7" t="s">
        <v>27</v>
      </c>
      <c r="B35" s="8">
        <v>45932</v>
      </c>
      <c r="C35" s="10">
        <v>10</v>
      </c>
      <c r="D35" s="7">
        <v>22.25</v>
      </c>
      <c r="E35" s="7" t="s">
        <v>16</v>
      </c>
      <c r="F35" s="7">
        <v>0</v>
      </c>
      <c r="G35" s="7">
        <v>3.88</v>
      </c>
      <c r="H35" s="7"/>
    </row>
    <row r="36" ht="15.3" hidden="1" spans="1:8">
      <c r="A36" s="7" t="s">
        <v>27</v>
      </c>
      <c r="B36" s="8">
        <v>45932</v>
      </c>
      <c r="C36" s="10">
        <v>11</v>
      </c>
      <c r="D36" s="7">
        <v>22.3</v>
      </c>
      <c r="E36" s="7" t="s">
        <v>16</v>
      </c>
      <c r="F36" s="7">
        <v>0</v>
      </c>
      <c r="G36" s="7">
        <v>3.52</v>
      </c>
      <c r="H36" s="7"/>
    </row>
    <row r="37" ht="15.3" spans="1:8">
      <c r="A37" s="7" t="s">
        <v>27</v>
      </c>
      <c r="B37" s="8">
        <v>45932</v>
      </c>
      <c r="C37" s="10">
        <v>12</v>
      </c>
      <c r="D37" s="7">
        <v>22.2</v>
      </c>
      <c r="E37" s="7" t="s">
        <v>16</v>
      </c>
      <c r="F37" s="7">
        <v>0</v>
      </c>
      <c r="G37" s="7">
        <v>3.57</v>
      </c>
      <c r="H37" s="7"/>
    </row>
    <row r="38" ht="15.3" hidden="1" spans="1:8">
      <c r="A38" s="7" t="s">
        <v>27</v>
      </c>
      <c r="B38" s="8">
        <v>45932</v>
      </c>
      <c r="C38" s="10">
        <v>13</v>
      </c>
      <c r="D38" s="7">
        <v>22.2</v>
      </c>
      <c r="E38" s="7" t="s">
        <v>16</v>
      </c>
      <c r="F38" s="7">
        <v>0</v>
      </c>
      <c r="G38" s="7">
        <v>3.75</v>
      </c>
      <c r="H38" s="7"/>
    </row>
    <row r="39" ht="15.3" spans="1:8">
      <c r="A39" s="7" t="s">
        <v>27</v>
      </c>
      <c r="B39" s="8">
        <v>45932</v>
      </c>
      <c r="C39" s="10">
        <v>14</v>
      </c>
      <c r="D39" s="7">
        <v>22.05</v>
      </c>
      <c r="E39" s="7" t="s">
        <v>16</v>
      </c>
      <c r="F39" s="7">
        <v>0</v>
      </c>
      <c r="G39" s="7">
        <v>3.23</v>
      </c>
      <c r="H39" s="7"/>
    </row>
    <row r="40" ht="15.3" hidden="1" spans="1:8">
      <c r="A40" s="7" t="s">
        <v>27</v>
      </c>
      <c r="B40" s="8">
        <v>45932</v>
      </c>
      <c r="C40" s="10">
        <v>15</v>
      </c>
      <c r="D40" s="7">
        <v>21.8</v>
      </c>
      <c r="E40" s="7" t="s">
        <v>16</v>
      </c>
      <c r="F40" s="7">
        <v>0</v>
      </c>
      <c r="G40" s="7">
        <v>4.43</v>
      </c>
      <c r="H40" s="7"/>
    </row>
    <row r="41" ht="15.3" spans="1:8">
      <c r="A41" s="7" t="s">
        <v>27</v>
      </c>
      <c r="B41" s="8">
        <v>45932</v>
      </c>
      <c r="C41" s="10">
        <v>16</v>
      </c>
      <c r="D41" s="7">
        <v>21.7</v>
      </c>
      <c r="E41" s="7" t="s">
        <v>16</v>
      </c>
      <c r="F41" s="7">
        <v>0</v>
      </c>
      <c r="G41" s="7">
        <v>2.68</v>
      </c>
      <c r="H41" s="7"/>
    </row>
    <row r="42" ht="15.3" hidden="1" spans="1:8">
      <c r="A42" s="7" t="s">
        <v>27</v>
      </c>
      <c r="B42" s="8">
        <v>45932</v>
      </c>
      <c r="C42" s="10">
        <v>17</v>
      </c>
      <c r="D42" s="7">
        <v>21.65</v>
      </c>
      <c r="E42" s="7" t="s">
        <v>16</v>
      </c>
      <c r="F42" s="7">
        <v>0</v>
      </c>
      <c r="G42" s="7">
        <v>0.88</v>
      </c>
      <c r="H42" s="7"/>
    </row>
    <row r="43" ht="15.3" spans="1:8">
      <c r="A43" s="7" t="s">
        <v>27</v>
      </c>
      <c r="B43" s="8">
        <v>45932</v>
      </c>
      <c r="C43" s="10">
        <v>18</v>
      </c>
      <c r="D43" s="7">
        <v>21.65</v>
      </c>
      <c r="E43" s="7" t="s">
        <v>16</v>
      </c>
      <c r="F43" s="7">
        <v>0</v>
      </c>
      <c r="G43" s="7">
        <v>0.43</v>
      </c>
      <c r="H43" s="7"/>
    </row>
    <row r="44" ht="15.3" hidden="1" spans="1:8">
      <c r="A44" s="7" t="s">
        <v>27</v>
      </c>
      <c r="B44" s="8">
        <v>45932</v>
      </c>
      <c r="C44" s="10">
        <v>19</v>
      </c>
      <c r="D44" s="7">
        <v>21.8</v>
      </c>
      <c r="E44" s="7" t="s">
        <v>16</v>
      </c>
      <c r="F44" s="7">
        <v>0</v>
      </c>
      <c r="G44" s="7">
        <v>1.74</v>
      </c>
      <c r="H44" s="7"/>
    </row>
    <row r="45" ht="15.3" spans="1:8">
      <c r="A45" s="7" t="s">
        <v>27</v>
      </c>
      <c r="B45" s="8">
        <v>45932</v>
      </c>
      <c r="C45" s="10">
        <v>20</v>
      </c>
      <c r="D45" s="7">
        <v>21.95</v>
      </c>
      <c r="E45" s="7" t="s">
        <v>16</v>
      </c>
      <c r="F45" s="7">
        <v>0</v>
      </c>
      <c r="G45" s="7">
        <v>2.74</v>
      </c>
      <c r="H45" s="7"/>
    </row>
    <row r="46" ht="15.3" hidden="1" spans="1:8">
      <c r="A46" s="7" t="s">
        <v>27</v>
      </c>
      <c r="B46" s="8">
        <v>45932</v>
      </c>
      <c r="C46" s="10">
        <v>21</v>
      </c>
      <c r="D46" s="7">
        <v>22.65</v>
      </c>
      <c r="E46" s="7" t="s">
        <v>16</v>
      </c>
      <c r="F46" s="7">
        <v>0</v>
      </c>
      <c r="G46" s="7">
        <v>4.29</v>
      </c>
      <c r="H46" s="7"/>
    </row>
    <row r="47" ht="15.3" spans="1:8">
      <c r="A47" s="7" t="s">
        <v>27</v>
      </c>
      <c r="B47" s="8">
        <v>45932</v>
      </c>
      <c r="C47" s="10">
        <v>22</v>
      </c>
      <c r="D47" s="7">
        <v>22.55</v>
      </c>
      <c r="E47" s="7" t="s">
        <v>16</v>
      </c>
      <c r="F47" s="7">
        <v>0</v>
      </c>
      <c r="G47" s="7">
        <v>6.4</v>
      </c>
      <c r="H47" s="7"/>
    </row>
    <row r="48" ht="15.3" hidden="1" spans="1:8">
      <c r="A48" s="7" t="s">
        <v>27</v>
      </c>
      <c r="B48" s="8">
        <v>45932</v>
      </c>
      <c r="C48" s="10">
        <v>23</v>
      </c>
      <c r="D48" s="7">
        <v>22.35</v>
      </c>
      <c r="E48" s="7" t="s">
        <v>16</v>
      </c>
      <c r="F48" s="7">
        <v>0</v>
      </c>
      <c r="G48" s="7">
        <v>6.57</v>
      </c>
      <c r="H48" s="7"/>
    </row>
    <row r="49" ht="15.3" spans="1:8">
      <c r="A49" s="7" t="s">
        <v>27</v>
      </c>
      <c r="B49" s="8">
        <v>45932</v>
      </c>
      <c r="C49" s="10">
        <v>24</v>
      </c>
      <c r="D49" s="7">
        <v>22.15</v>
      </c>
      <c r="E49" s="7" t="s">
        <v>16</v>
      </c>
      <c r="F49" s="7">
        <v>0</v>
      </c>
      <c r="G49" s="7">
        <v>6.71</v>
      </c>
      <c r="H49" s="7"/>
    </row>
    <row r="50" ht="15.3" hidden="1" spans="1:8">
      <c r="A50" s="7" t="s">
        <v>27</v>
      </c>
      <c r="B50" s="8">
        <v>45933</v>
      </c>
      <c r="C50" s="10">
        <v>1</v>
      </c>
      <c r="D50" s="7">
        <v>21.95</v>
      </c>
      <c r="E50" s="7" t="s">
        <v>16</v>
      </c>
      <c r="F50" s="7">
        <v>0</v>
      </c>
      <c r="G50" s="7">
        <v>5.88</v>
      </c>
      <c r="H50" s="7"/>
    </row>
    <row r="51" ht="15.3" spans="1:8">
      <c r="A51" s="7" t="s">
        <v>27</v>
      </c>
      <c r="B51" s="8">
        <v>45933</v>
      </c>
      <c r="C51" s="10">
        <v>2</v>
      </c>
      <c r="D51" s="7">
        <v>22.15</v>
      </c>
      <c r="E51" s="7" t="s">
        <v>16</v>
      </c>
      <c r="F51" s="7">
        <v>0</v>
      </c>
      <c r="G51" s="7">
        <v>5.77</v>
      </c>
      <c r="H51" s="7"/>
    </row>
    <row r="52" ht="15.3" hidden="1" spans="1:8">
      <c r="A52" s="7" t="s">
        <v>27</v>
      </c>
      <c r="B52" s="8">
        <v>45933</v>
      </c>
      <c r="C52" s="10">
        <v>3</v>
      </c>
      <c r="D52" s="7">
        <v>20.55</v>
      </c>
      <c r="E52" s="7" t="s">
        <v>16</v>
      </c>
      <c r="F52" s="7">
        <v>0.3</v>
      </c>
      <c r="G52" s="7">
        <v>4.36</v>
      </c>
      <c r="H52" s="7"/>
    </row>
    <row r="53" ht="15.3" spans="1:8">
      <c r="A53" s="7" t="s">
        <v>27</v>
      </c>
      <c r="B53" s="8">
        <v>45933</v>
      </c>
      <c r="C53" s="10">
        <v>4</v>
      </c>
      <c r="D53" s="7">
        <v>20.4</v>
      </c>
      <c r="E53" s="7" t="s">
        <v>16</v>
      </c>
      <c r="F53" s="7">
        <v>0.1</v>
      </c>
      <c r="G53" s="7">
        <v>5.5</v>
      </c>
      <c r="H53" s="7"/>
    </row>
    <row r="54" ht="15.3" hidden="1" spans="1:8">
      <c r="A54" s="7" t="s">
        <v>27</v>
      </c>
      <c r="B54" s="8">
        <v>45933</v>
      </c>
      <c r="C54" s="10">
        <v>5</v>
      </c>
      <c r="D54" s="7">
        <v>20.6</v>
      </c>
      <c r="E54" s="7" t="s">
        <v>17</v>
      </c>
      <c r="F54" s="7">
        <v>0.5</v>
      </c>
      <c r="G54" s="7">
        <v>4.37</v>
      </c>
      <c r="H54" s="7"/>
    </row>
    <row r="55" ht="15.3" spans="1:8">
      <c r="A55" s="7" t="s">
        <v>27</v>
      </c>
      <c r="B55" s="8">
        <v>45933</v>
      </c>
      <c r="C55" s="10">
        <v>6</v>
      </c>
      <c r="D55" s="7">
        <v>19.65</v>
      </c>
      <c r="E55" s="7" t="s">
        <v>17</v>
      </c>
      <c r="F55" s="7">
        <v>0.5</v>
      </c>
      <c r="G55" s="7">
        <v>3.23</v>
      </c>
      <c r="H55" s="7"/>
    </row>
    <row r="56" ht="15.3" hidden="1" spans="1:8">
      <c r="A56" s="7" t="s">
        <v>27</v>
      </c>
      <c r="B56" s="8">
        <v>45933</v>
      </c>
      <c r="C56" s="10">
        <v>7</v>
      </c>
      <c r="D56" s="7">
        <v>20.75</v>
      </c>
      <c r="E56" s="7" t="s">
        <v>17</v>
      </c>
      <c r="F56" s="7">
        <v>0.4</v>
      </c>
      <c r="G56" s="7">
        <v>2.67</v>
      </c>
      <c r="H56" s="7"/>
    </row>
    <row r="57" ht="15.3" spans="1:8">
      <c r="A57" s="7" t="s">
        <v>27</v>
      </c>
      <c r="B57" s="8">
        <v>45933</v>
      </c>
      <c r="C57" s="10">
        <v>8</v>
      </c>
      <c r="D57" s="7">
        <v>21.35</v>
      </c>
      <c r="E57" s="7" t="s">
        <v>16</v>
      </c>
      <c r="F57" s="7">
        <v>0</v>
      </c>
      <c r="G57" s="7">
        <v>2.97</v>
      </c>
      <c r="H57" s="7"/>
    </row>
    <row r="58" ht="15.3" hidden="1" spans="1:8">
      <c r="A58" s="7" t="s">
        <v>27</v>
      </c>
      <c r="B58" s="8">
        <v>45933</v>
      </c>
      <c r="C58" s="10">
        <v>9</v>
      </c>
      <c r="D58" s="7">
        <v>21.85</v>
      </c>
      <c r="E58" s="7" t="s">
        <v>18</v>
      </c>
      <c r="F58" s="7">
        <v>0</v>
      </c>
      <c r="G58" s="7">
        <v>4.87</v>
      </c>
      <c r="H58" s="7"/>
    </row>
    <row r="59" ht="15.3" spans="1:8">
      <c r="A59" s="7" t="s">
        <v>27</v>
      </c>
      <c r="B59" s="8">
        <v>45933</v>
      </c>
      <c r="C59" s="10">
        <v>10</v>
      </c>
      <c r="D59" s="7">
        <v>21.8</v>
      </c>
      <c r="E59" s="7" t="s">
        <v>16</v>
      </c>
      <c r="F59" s="7">
        <v>0</v>
      </c>
      <c r="G59" s="7">
        <v>4.32</v>
      </c>
      <c r="H59" s="7"/>
    </row>
    <row r="60" ht="15.3" hidden="1" spans="1:8">
      <c r="A60" s="7" t="s">
        <v>27</v>
      </c>
      <c r="B60" s="8">
        <v>45933</v>
      </c>
      <c r="C60" s="10">
        <v>11</v>
      </c>
      <c r="D60" s="7">
        <v>21.75</v>
      </c>
      <c r="E60" s="7" t="s">
        <v>16</v>
      </c>
      <c r="F60" s="7">
        <v>0</v>
      </c>
      <c r="G60" s="7">
        <v>3.3</v>
      </c>
      <c r="H60" s="7"/>
    </row>
    <row r="61" ht="15.3" spans="1:8">
      <c r="A61" s="7" t="s">
        <v>27</v>
      </c>
      <c r="B61" s="8">
        <v>45933</v>
      </c>
      <c r="C61" s="10">
        <v>12</v>
      </c>
      <c r="D61" s="7">
        <v>21.9</v>
      </c>
      <c r="E61" s="7" t="s">
        <v>16</v>
      </c>
      <c r="F61" s="7">
        <v>0</v>
      </c>
      <c r="G61" s="7">
        <v>3.11</v>
      </c>
      <c r="H61" s="7"/>
    </row>
    <row r="62" ht="15.3" hidden="1" spans="1:8">
      <c r="A62" s="7" t="s">
        <v>27</v>
      </c>
      <c r="B62" s="8">
        <v>45933</v>
      </c>
      <c r="C62" s="10">
        <v>13</v>
      </c>
      <c r="D62" s="7">
        <v>22.05</v>
      </c>
      <c r="E62" s="7" t="s">
        <v>16</v>
      </c>
      <c r="F62" s="7">
        <v>0</v>
      </c>
      <c r="G62" s="7">
        <v>4.66</v>
      </c>
      <c r="H62" s="7"/>
    </row>
    <row r="63" ht="15.3" spans="1:8">
      <c r="A63" s="7" t="s">
        <v>27</v>
      </c>
      <c r="B63" s="8">
        <v>45933</v>
      </c>
      <c r="C63" s="10">
        <v>14</v>
      </c>
      <c r="D63" s="7">
        <v>21.95</v>
      </c>
      <c r="E63" s="7" t="s">
        <v>16</v>
      </c>
      <c r="F63" s="7">
        <v>0</v>
      </c>
      <c r="G63" s="7">
        <v>4.88</v>
      </c>
      <c r="H63" s="7"/>
    </row>
    <row r="64" ht="15.3" hidden="1" spans="1:8">
      <c r="A64" s="7" t="s">
        <v>27</v>
      </c>
      <c r="B64" s="8">
        <v>45933</v>
      </c>
      <c r="C64" s="10">
        <v>15</v>
      </c>
      <c r="D64" s="7">
        <v>21.65</v>
      </c>
      <c r="E64" s="7" t="s">
        <v>16</v>
      </c>
      <c r="F64" s="7">
        <v>0</v>
      </c>
      <c r="G64" s="7">
        <v>5.63</v>
      </c>
      <c r="H64" s="7"/>
    </row>
    <row r="65" ht="15.3" spans="1:8">
      <c r="A65" s="7" t="s">
        <v>27</v>
      </c>
      <c r="B65" s="8">
        <v>45933</v>
      </c>
      <c r="C65" s="10">
        <v>16</v>
      </c>
      <c r="D65" s="7">
        <v>21.7</v>
      </c>
      <c r="E65" s="7" t="s">
        <v>16</v>
      </c>
      <c r="F65" s="7">
        <v>0</v>
      </c>
      <c r="G65" s="7">
        <v>6.39</v>
      </c>
      <c r="H65" s="7"/>
    </row>
    <row r="66" ht="15.3" hidden="1" spans="1:8">
      <c r="A66" s="7" t="s">
        <v>27</v>
      </c>
      <c r="B66" s="8">
        <v>45933</v>
      </c>
      <c r="C66" s="10">
        <v>17</v>
      </c>
      <c r="D66" s="7">
        <v>21.75</v>
      </c>
      <c r="E66" s="7" t="s">
        <v>16</v>
      </c>
      <c r="F66" s="7">
        <v>0</v>
      </c>
      <c r="G66" s="7">
        <v>6.52</v>
      </c>
      <c r="H66" s="7"/>
    </row>
    <row r="67" ht="15.3" spans="1:8">
      <c r="A67" s="7" t="s">
        <v>27</v>
      </c>
      <c r="B67" s="8">
        <v>45933</v>
      </c>
      <c r="C67" s="10">
        <v>18</v>
      </c>
      <c r="D67" s="7">
        <v>21.95</v>
      </c>
      <c r="E67" s="7" t="s">
        <v>16</v>
      </c>
      <c r="F67" s="7">
        <v>0</v>
      </c>
      <c r="G67" s="7">
        <v>5.62</v>
      </c>
      <c r="H67" s="7"/>
    </row>
    <row r="68" ht="15.3" hidden="1" spans="1:8">
      <c r="A68" s="7" t="s">
        <v>27</v>
      </c>
      <c r="B68" s="8">
        <v>45933</v>
      </c>
      <c r="C68" s="10">
        <v>19</v>
      </c>
      <c r="D68" s="7">
        <v>21.9</v>
      </c>
      <c r="E68" s="7" t="s">
        <v>16</v>
      </c>
      <c r="F68" s="7">
        <v>0</v>
      </c>
      <c r="G68" s="7">
        <v>4.73</v>
      </c>
      <c r="H68" s="7"/>
    </row>
    <row r="69" ht="15.3" spans="1:8">
      <c r="A69" s="7" t="s">
        <v>27</v>
      </c>
      <c r="B69" s="8">
        <v>45933</v>
      </c>
      <c r="C69" s="10">
        <v>20</v>
      </c>
      <c r="D69" s="7">
        <v>21.95</v>
      </c>
      <c r="E69" s="7" t="s">
        <v>16</v>
      </c>
      <c r="F69" s="7">
        <v>0</v>
      </c>
      <c r="G69" s="7">
        <v>3.81</v>
      </c>
      <c r="H69" s="7"/>
    </row>
    <row r="70" ht="15.3" hidden="1" spans="1:8">
      <c r="A70" s="7" t="s">
        <v>27</v>
      </c>
      <c r="B70" s="8">
        <v>45933</v>
      </c>
      <c r="C70" s="10">
        <v>21</v>
      </c>
      <c r="D70" s="7">
        <v>22</v>
      </c>
      <c r="E70" s="7" t="s">
        <v>16</v>
      </c>
      <c r="F70" s="7">
        <v>0</v>
      </c>
      <c r="G70" s="7">
        <v>4.51</v>
      </c>
      <c r="H70" s="7"/>
    </row>
    <row r="71" ht="15.3" spans="1:8">
      <c r="A71" s="7" t="s">
        <v>27</v>
      </c>
      <c r="B71" s="8">
        <v>45933</v>
      </c>
      <c r="C71" s="10">
        <v>22</v>
      </c>
      <c r="D71" s="7">
        <v>22</v>
      </c>
      <c r="E71" s="7" t="s">
        <v>16</v>
      </c>
      <c r="F71" s="7">
        <v>0</v>
      </c>
      <c r="G71" s="7">
        <v>3.8</v>
      </c>
      <c r="H71" s="7"/>
    </row>
    <row r="72" ht="15.3" hidden="1" spans="1:8">
      <c r="A72" s="7" t="s">
        <v>27</v>
      </c>
      <c r="B72" s="8">
        <v>45933</v>
      </c>
      <c r="C72" s="10">
        <v>23</v>
      </c>
      <c r="D72" s="7">
        <v>22.1</v>
      </c>
      <c r="E72" s="7" t="s">
        <v>16</v>
      </c>
      <c r="F72" s="7">
        <v>0</v>
      </c>
      <c r="G72" s="7">
        <v>2.77</v>
      </c>
      <c r="H72" s="7"/>
    </row>
    <row r="73" ht="15.3" spans="1:8">
      <c r="A73" s="7" t="s">
        <v>27</v>
      </c>
      <c r="B73" s="8">
        <v>45933</v>
      </c>
      <c r="C73" s="10">
        <v>24</v>
      </c>
      <c r="D73" s="7">
        <v>22.1</v>
      </c>
      <c r="E73" s="7" t="s">
        <v>16</v>
      </c>
      <c r="F73" s="7">
        <v>0</v>
      </c>
      <c r="G73" s="7">
        <v>1.42</v>
      </c>
      <c r="H73" s="7"/>
    </row>
    <row r="74" ht="15.3" hidden="1" spans="1:8">
      <c r="A74" s="7" t="s">
        <v>27</v>
      </c>
      <c r="B74" s="8">
        <v>45934</v>
      </c>
      <c r="C74" s="10">
        <v>1</v>
      </c>
      <c r="D74" s="7">
        <v>21.95</v>
      </c>
      <c r="E74" s="7" t="s">
        <v>16</v>
      </c>
      <c r="F74" s="7">
        <v>0.1</v>
      </c>
      <c r="G74" s="7">
        <v>0.81</v>
      </c>
      <c r="H74" s="7"/>
    </row>
    <row r="75" ht="15.3" spans="1:8">
      <c r="A75" s="7" t="s">
        <v>27</v>
      </c>
      <c r="B75" s="8">
        <v>45934</v>
      </c>
      <c r="C75" s="10">
        <v>2</v>
      </c>
      <c r="D75" s="7">
        <v>21.65</v>
      </c>
      <c r="E75" s="7" t="s">
        <v>16</v>
      </c>
      <c r="F75" s="7">
        <v>0</v>
      </c>
      <c r="G75" s="7">
        <v>2.55</v>
      </c>
      <c r="H75" s="7"/>
    </row>
    <row r="76" ht="15.3" hidden="1" spans="1:8">
      <c r="A76" s="7" t="s">
        <v>27</v>
      </c>
      <c r="B76" s="8">
        <v>45934</v>
      </c>
      <c r="C76" s="10">
        <v>3</v>
      </c>
      <c r="D76" s="7">
        <v>21.45</v>
      </c>
      <c r="E76" s="7" t="s">
        <v>16</v>
      </c>
      <c r="F76" s="7">
        <v>0</v>
      </c>
      <c r="G76" s="7">
        <v>3.94</v>
      </c>
      <c r="H76" s="7"/>
    </row>
    <row r="77" ht="15.3" spans="1:8">
      <c r="A77" s="7" t="s">
        <v>27</v>
      </c>
      <c r="B77" s="8">
        <v>45934</v>
      </c>
      <c r="C77" s="10">
        <v>4</v>
      </c>
      <c r="D77" s="7">
        <v>21.2</v>
      </c>
      <c r="E77" s="7" t="s">
        <v>16</v>
      </c>
      <c r="F77" s="7">
        <v>0</v>
      </c>
      <c r="G77" s="7">
        <v>4.11</v>
      </c>
      <c r="H77" s="7"/>
    </row>
    <row r="78" ht="15.3" hidden="1" spans="1:8">
      <c r="A78" s="7" t="s">
        <v>27</v>
      </c>
      <c r="B78" s="8">
        <v>45934</v>
      </c>
      <c r="C78" s="10">
        <v>5</v>
      </c>
      <c r="D78" s="7">
        <v>21</v>
      </c>
      <c r="E78" s="7" t="s">
        <v>16</v>
      </c>
      <c r="F78" s="7">
        <v>0</v>
      </c>
      <c r="G78" s="7">
        <v>3.58</v>
      </c>
      <c r="H78" s="7"/>
    </row>
    <row r="79" ht="15.3" spans="1:8">
      <c r="A79" s="7" t="s">
        <v>27</v>
      </c>
      <c r="B79" s="8">
        <v>45934</v>
      </c>
      <c r="C79" s="10">
        <v>6</v>
      </c>
      <c r="D79" s="7">
        <v>20.85</v>
      </c>
      <c r="E79" s="7" t="s">
        <v>16</v>
      </c>
      <c r="F79" s="7">
        <v>0</v>
      </c>
      <c r="G79" s="7">
        <v>3.32</v>
      </c>
      <c r="H79" s="7"/>
    </row>
    <row r="80" ht="15.3" hidden="1" spans="1:8">
      <c r="A80" s="7" t="s">
        <v>27</v>
      </c>
      <c r="B80" s="8">
        <v>45934</v>
      </c>
      <c r="C80" s="10">
        <v>7</v>
      </c>
      <c r="D80" s="7">
        <v>20.75</v>
      </c>
      <c r="E80" s="7" t="s">
        <v>16</v>
      </c>
      <c r="F80" s="7">
        <v>0</v>
      </c>
      <c r="G80" s="7">
        <v>2.84</v>
      </c>
      <c r="H80" s="7"/>
    </row>
    <row r="81" ht="15.3" spans="1:8">
      <c r="A81" s="7" t="s">
        <v>27</v>
      </c>
      <c r="B81" s="8">
        <v>45934</v>
      </c>
      <c r="C81" s="10">
        <v>8</v>
      </c>
      <c r="D81" s="7">
        <v>20.65</v>
      </c>
      <c r="E81" s="7" t="s">
        <v>16</v>
      </c>
      <c r="F81" s="7">
        <v>0</v>
      </c>
      <c r="G81" s="7">
        <v>2.98</v>
      </c>
      <c r="H81" s="7"/>
    </row>
    <row r="82" ht="15.3" hidden="1" spans="1:8">
      <c r="A82" s="7" t="s">
        <v>27</v>
      </c>
      <c r="B82" s="8">
        <v>45934</v>
      </c>
      <c r="C82" s="10">
        <v>9</v>
      </c>
      <c r="D82" s="7">
        <v>20.6</v>
      </c>
      <c r="E82" s="7" t="s">
        <v>16</v>
      </c>
      <c r="F82" s="7">
        <v>0</v>
      </c>
      <c r="G82" s="7">
        <v>2.48</v>
      </c>
      <c r="H82" s="7"/>
    </row>
    <row r="83" ht="15.3" spans="1:8">
      <c r="A83" s="7" t="s">
        <v>27</v>
      </c>
      <c r="B83" s="8">
        <v>45934</v>
      </c>
      <c r="C83" s="10">
        <v>10</v>
      </c>
      <c r="D83" s="7">
        <v>20.6</v>
      </c>
      <c r="E83" s="7" t="s">
        <v>16</v>
      </c>
      <c r="F83" s="7">
        <v>0</v>
      </c>
      <c r="G83" s="7">
        <v>2.41</v>
      </c>
      <c r="H83" s="7"/>
    </row>
    <row r="84" ht="15.3" hidden="1" spans="1:8">
      <c r="A84" s="7" t="s">
        <v>27</v>
      </c>
      <c r="B84" s="8">
        <v>45934</v>
      </c>
      <c r="C84" s="10">
        <v>11</v>
      </c>
      <c r="D84" s="7">
        <v>20.75</v>
      </c>
      <c r="E84" s="7" t="s">
        <v>16</v>
      </c>
      <c r="F84" s="7">
        <v>0</v>
      </c>
      <c r="G84" s="7">
        <v>2</v>
      </c>
      <c r="H84" s="7"/>
    </row>
    <row r="85" ht="15.3" spans="1:8">
      <c r="A85" s="7" t="s">
        <v>27</v>
      </c>
      <c r="B85" s="8">
        <v>45934</v>
      </c>
      <c r="C85" s="10">
        <v>12</v>
      </c>
      <c r="D85" s="7">
        <v>20.85</v>
      </c>
      <c r="E85" s="7" t="s">
        <v>16</v>
      </c>
      <c r="F85" s="7">
        <v>0</v>
      </c>
      <c r="G85" s="7">
        <v>2.48</v>
      </c>
      <c r="H85" s="7"/>
    </row>
    <row r="86" ht="15.3" hidden="1" spans="1:8">
      <c r="A86" s="7" t="s">
        <v>27</v>
      </c>
      <c r="B86" s="8">
        <v>45934</v>
      </c>
      <c r="C86" s="10">
        <v>13</v>
      </c>
      <c r="D86" s="7">
        <v>21.05</v>
      </c>
      <c r="E86" s="7" t="s">
        <v>16</v>
      </c>
      <c r="F86" s="7">
        <v>0</v>
      </c>
      <c r="G86" s="7">
        <v>2</v>
      </c>
      <c r="H86" s="7"/>
    </row>
    <row r="87" ht="15.3" spans="1:8">
      <c r="A87" s="7" t="s">
        <v>27</v>
      </c>
      <c r="B87" s="8">
        <v>45934</v>
      </c>
      <c r="C87" s="10">
        <v>14</v>
      </c>
      <c r="D87" s="7">
        <v>21.55</v>
      </c>
      <c r="E87" s="7" t="s">
        <v>16</v>
      </c>
      <c r="F87" s="7">
        <v>0</v>
      </c>
      <c r="G87" s="7">
        <v>3.44</v>
      </c>
      <c r="H87" s="7"/>
    </row>
    <row r="88" ht="15.3" hidden="1" spans="1:8">
      <c r="A88" s="7" t="s">
        <v>27</v>
      </c>
      <c r="B88" s="8">
        <v>45934</v>
      </c>
      <c r="C88" s="10">
        <v>15</v>
      </c>
      <c r="D88" s="7">
        <v>22.1</v>
      </c>
      <c r="E88" s="7" t="s">
        <v>16</v>
      </c>
      <c r="F88" s="7">
        <v>0</v>
      </c>
      <c r="G88" s="7">
        <v>3.39</v>
      </c>
      <c r="H88" s="7"/>
    </row>
    <row r="89" ht="15.3" spans="1:8">
      <c r="A89" s="7" t="s">
        <v>27</v>
      </c>
      <c r="B89" s="8">
        <v>45934</v>
      </c>
      <c r="C89" s="10">
        <v>16</v>
      </c>
      <c r="D89" s="7">
        <v>22</v>
      </c>
      <c r="E89" s="7" t="s">
        <v>16</v>
      </c>
      <c r="F89" s="7">
        <v>0</v>
      </c>
      <c r="G89" s="7">
        <v>3.54</v>
      </c>
      <c r="H89" s="7"/>
    </row>
    <row r="90" ht="15.3" hidden="1" spans="1:8">
      <c r="A90" s="7" t="s">
        <v>27</v>
      </c>
      <c r="B90" s="8">
        <v>45934</v>
      </c>
      <c r="C90" s="10">
        <v>17</v>
      </c>
      <c r="D90" s="7">
        <v>22</v>
      </c>
      <c r="E90" s="7" t="s">
        <v>16</v>
      </c>
      <c r="F90" s="7">
        <v>0</v>
      </c>
      <c r="G90" s="7">
        <v>3.88</v>
      </c>
      <c r="H90" s="7"/>
    </row>
    <row r="91" ht="15.3" spans="1:8">
      <c r="A91" s="7" t="s">
        <v>27</v>
      </c>
      <c r="B91" s="8">
        <v>45934</v>
      </c>
      <c r="C91" s="10">
        <v>18</v>
      </c>
      <c r="D91" s="7">
        <v>21.95</v>
      </c>
      <c r="E91" s="7" t="s">
        <v>16</v>
      </c>
      <c r="F91" s="7">
        <v>0</v>
      </c>
      <c r="G91" s="7">
        <v>4.36</v>
      </c>
      <c r="H91" s="7"/>
    </row>
    <row r="92" ht="15.3" hidden="1" spans="1:8">
      <c r="A92" s="7" t="s">
        <v>27</v>
      </c>
      <c r="B92" s="8">
        <v>45934</v>
      </c>
      <c r="C92" s="10">
        <v>19</v>
      </c>
      <c r="D92" s="7">
        <v>21.9</v>
      </c>
      <c r="E92" s="7" t="s">
        <v>16</v>
      </c>
      <c r="F92" s="7">
        <v>0</v>
      </c>
      <c r="G92" s="7">
        <v>4.53</v>
      </c>
      <c r="H92" s="7"/>
    </row>
    <row r="93" ht="15.3" spans="1:8">
      <c r="A93" s="7" t="s">
        <v>27</v>
      </c>
      <c r="B93" s="8">
        <v>45934</v>
      </c>
      <c r="C93" s="10">
        <v>20</v>
      </c>
      <c r="D93" s="7">
        <v>22.05</v>
      </c>
      <c r="E93" s="7" t="s">
        <v>16</v>
      </c>
      <c r="F93" s="7">
        <v>0</v>
      </c>
      <c r="G93" s="7">
        <v>4.72</v>
      </c>
      <c r="H93" s="7"/>
    </row>
    <row r="94" ht="15.3" hidden="1" spans="1:8">
      <c r="A94" s="7" t="s">
        <v>27</v>
      </c>
      <c r="B94" s="8">
        <v>45934</v>
      </c>
      <c r="C94" s="10">
        <v>21</v>
      </c>
      <c r="D94" s="7">
        <v>22.2</v>
      </c>
      <c r="E94" s="7" t="s">
        <v>16</v>
      </c>
      <c r="F94" s="7">
        <v>0</v>
      </c>
      <c r="G94" s="7">
        <v>4.96</v>
      </c>
      <c r="H94" s="7"/>
    </row>
    <row r="95" ht="15.3" spans="1:8">
      <c r="A95" s="7" t="s">
        <v>27</v>
      </c>
      <c r="B95" s="8">
        <v>45934</v>
      </c>
      <c r="C95" s="10">
        <v>22</v>
      </c>
      <c r="D95" s="7">
        <v>22.2</v>
      </c>
      <c r="E95" s="7" t="s">
        <v>16</v>
      </c>
      <c r="F95" s="7">
        <v>0</v>
      </c>
      <c r="G95" s="7">
        <v>4.12</v>
      </c>
      <c r="H95" s="7"/>
    </row>
    <row r="96" ht="15.3" hidden="1" spans="1:8">
      <c r="A96" s="7" t="s">
        <v>27</v>
      </c>
      <c r="B96" s="8">
        <v>45934</v>
      </c>
      <c r="C96" s="10">
        <v>23</v>
      </c>
      <c r="D96" s="7">
        <v>22.3</v>
      </c>
      <c r="E96" s="7" t="s">
        <v>16</v>
      </c>
      <c r="F96" s="7">
        <v>0</v>
      </c>
      <c r="G96" s="7">
        <v>4.48</v>
      </c>
      <c r="H96" s="7"/>
    </row>
    <row r="97" ht="15.3" spans="1:8">
      <c r="A97" s="7" t="s">
        <v>27</v>
      </c>
      <c r="B97" s="8">
        <v>45934</v>
      </c>
      <c r="C97" s="10">
        <v>24</v>
      </c>
      <c r="D97" s="7">
        <v>22.2</v>
      </c>
      <c r="E97" s="7" t="s">
        <v>16</v>
      </c>
      <c r="F97" s="7">
        <v>0</v>
      </c>
      <c r="G97" s="7">
        <v>4.13</v>
      </c>
      <c r="H97" s="7"/>
    </row>
    <row r="98" ht="15.3" hidden="1" spans="1:8">
      <c r="A98" s="7" t="s">
        <v>27</v>
      </c>
      <c r="B98" s="8">
        <v>45935</v>
      </c>
      <c r="C98" s="10">
        <v>1</v>
      </c>
      <c r="D98" s="7">
        <v>22.15</v>
      </c>
      <c r="E98" s="7" t="s">
        <v>16</v>
      </c>
      <c r="F98" s="7">
        <v>0.2</v>
      </c>
      <c r="G98" s="7">
        <v>2.59</v>
      </c>
      <c r="H98" s="7"/>
    </row>
    <row r="99" ht="15.3" spans="1:8">
      <c r="A99" s="7" t="s">
        <v>27</v>
      </c>
      <c r="B99" s="8">
        <v>45935</v>
      </c>
      <c r="C99" s="10">
        <v>2</v>
      </c>
      <c r="D99" s="7">
        <v>22</v>
      </c>
      <c r="E99" s="7" t="s">
        <v>16</v>
      </c>
      <c r="F99" s="7">
        <v>0.1</v>
      </c>
      <c r="G99" s="7">
        <v>2.44</v>
      </c>
      <c r="H99" s="7"/>
    </row>
    <row r="100" ht="15.3" hidden="1" spans="1:8">
      <c r="A100" s="7" t="s">
        <v>27</v>
      </c>
      <c r="B100" s="8">
        <v>45935</v>
      </c>
      <c r="C100" s="10">
        <v>3</v>
      </c>
      <c r="D100" s="7">
        <v>21.75</v>
      </c>
      <c r="E100" s="7" t="s">
        <v>16</v>
      </c>
      <c r="F100" s="7">
        <v>0</v>
      </c>
      <c r="G100" s="7">
        <v>2.56</v>
      </c>
      <c r="H100" s="7"/>
    </row>
    <row r="101" ht="15.3" spans="1:8">
      <c r="A101" s="7" t="s">
        <v>27</v>
      </c>
      <c r="B101" s="8">
        <v>45935</v>
      </c>
      <c r="C101" s="10">
        <v>4</v>
      </c>
      <c r="D101" s="7">
        <v>21.65</v>
      </c>
      <c r="E101" s="7" t="s">
        <v>16</v>
      </c>
      <c r="F101" s="7">
        <v>0</v>
      </c>
      <c r="G101" s="7">
        <v>1.41</v>
      </c>
      <c r="H101" s="7"/>
    </row>
    <row r="102" ht="15.3" hidden="1" spans="1:8">
      <c r="A102" s="7" t="s">
        <v>27</v>
      </c>
      <c r="B102" s="8">
        <v>45935</v>
      </c>
      <c r="C102" s="10">
        <v>5</v>
      </c>
      <c r="D102" s="7">
        <v>21.55</v>
      </c>
      <c r="E102" s="7" t="s">
        <v>16</v>
      </c>
      <c r="F102" s="7">
        <v>0</v>
      </c>
      <c r="G102" s="7">
        <v>1</v>
      </c>
      <c r="H102" s="7"/>
    </row>
    <row r="103" ht="15.3" spans="1:8">
      <c r="A103" s="7" t="s">
        <v>27</v>
      </c>
      <c r="B103" s="8">
        <v>45935</v>
      </c>
      <c r="C103" s="10">
        <v>6</v>
      </c>
      <c r="D103" s="7">
        <v>21.7</v>
      </c>
      <c r="E103" s="7" t="s">
        <v>16</v>
      </c>
      <c r="F103" s="7">
        <v>0</v>
      </c>
      <c r="G103" s="7">
        <v>0.14</v>
      </c>
      <c r="H103" s="7"/>
    </row>
    <row r="104" ht="15.3" hidden="1" spans="1:8">
      <c r="A104" s="7" t="s">
        <v>27</v>
      </c>
      <c r="B104" s="8">
        <v>45935</v>
      </c>
      <c r="C104" s="10">
        <v>7</v>
      </c>
      <c r="D104" s="7">
        <v>20.7</v>
      </c>
      <c r="E104" s="7" t="s">
        <v>16</v>
      </c>
      <c r="F104" s="7">
        <v>0.3</v>
      </c>
      <c r="G104" s="7">
        <v>4.76</v>
      </c>
      <c r="H104" s="7"/>
    </row>
    <row r="105" ht="15.3" spans="1:8">
      <c r="A105" s="7" t="s">
        <v>27</v>
      </c>
      <c r="B105" s="8">
        <v>45935</v>
      </c>
      <c r="C105" s="10">
        <v>8</v>
      </c>
      <c r="D105" s="7">
        <v>20.2</v>
      </c>
      <c r="E105" s="7" t="s">
        <v>16</v>
      </c>
      <c r="F105" s="7">
        <v>0.1</v>
      </c>
      <c r="G105" s="7">
        <v>5.85</v>
      </c>
      <c r="H105" s="7"/>
    </row>
    <row r="106" ht="15.3" hidden="1" spans="1:8">
      <c r="A106" s="7" t="s">
        <v>27</v>
      </c>
      <c r="B106" s="8">
        <v>45935</v>
      </c>
      <c r="C106" s="10">
        <v>9</v>
      </c>
      <c r="D106" s="7">
        <v>21.15</v>
      </c>
      <c r="E106" s="7" t="s">
        <v>17</v>
      </c>
      <c r="F106" s="7">
        <v>0.6</v>
      </c>
      <c r="G106" s="7">
        <v>8.77</v>
      </c>
      <c r="H106" s="7"/>
    </row>
    <row r="107" ht="15.3" spans="1:8">
      <c r="A107" s="7" t="s">
        <v>27</v>
      </c>
      <c r="B107" s="8">
        <v>45935</v>
      </c>
      <c r="C107" s="10">
        <v>10</v>
      </c>
      <c r="D107" s="7">
        <v>21.35</v>
      </c>
      <c r="E107" s="7" t="s">
        <v>16</v>
      </c>
      <c r="F107" s="7">
        <v>0</v>
      </c>
      <c r="G107" s="7">
        <v>9.58</v>
      </c>
      <c r="H107" s="7"/>
    </row>
    <row r="108" ht="15.3" hidden="1" spans="1:8">
      <c r="A108" s="7" t="s">
        <v>27</v>
      </c>
      <c r="B108" s="8">
        <v>45935</v>
      </c>
      <c r="C108" s="10">
        <v>11</v>
      </c>
      <c r="D108" s="7">
        <v>20.95</v>
      </c>
      <c r="E108" s="7" t="s">
        <v>16</v>
      </c>
      <c r="F108" s="7">
        <v>0</v>
      </c>
      <c r="G108" s="7">
        <v>9.67</v>
      </c>
      <c r="H108" s="7"/>
    </row>
    <row r="109" ht="15.3" spans="1:8">
      <c r="A109" s="7" t="s">
        <v>27</v>
      </c>
      <c r="B109" s="8">
        <v>45935</v>
      </c>
      <c r="C109" s="10">
        <v>12</v>
      </c>
      <c r="D109" s="7">
        <v>20.85</v>
      </c>
      <c r="E109" s="7" t="s">
        <v>16</v>
      </c>
      <c r="F109" s="7">
        <v>0</v>
      </c>
      <c r="G109" s="7">
        <v>10.13</v>
      </c>
      <c r="H109" s="7"/>
    </row>
    <row r="110" ht="15.3" hidden="1" spans="1:8">
      <c r="A110" s="7" t="s">
        <v>27</v>
      </c>
      <c r="B110" s="8">
        <v>45935</v>
      </c>
      <c r="C110" s="10">
        <v>13</v>
      </c>
      <c r="D110" s="7">
        <v>21.15</v>
      </c>
      <c r="E110" s="7" t="s">
        <v>16</v>
      </c>
      <c r="F110" s="7">
        <v>0</v>
      </c>
      <c r="G110" s="7">
        <v>10.21</v>
      </c>
      <c r="H110" s="7"/>
    </row>
    <row r="111" ht="15.3" spans="1:8">
      <c r="A111" s="7" t="s">
        <v>27</v>
      </c>
      <c r="B111" s="8">
        <v>45935</v>
      </c>
      <c r="C111" s="10">
        <v>14</v>
      </c>
      <c r="D111" s="7">
        <v>21.25</v>
      </c>
      <c r="E111" s="7" t="s">
        <v>16</v>
      </c>
      <c r="F111" s="7">
        <v>0</v>
      </c>
      <c r="G111" s="7">
        <v>9.99</v>
      </c>
      <c r="H111" s="7"/>
    </row>
    <row r="112" ht="15.3" hidden="1" spans="1:8">
      <c r="A112" s="7" t="s">
        <v>27</v>
      </c>
      <c r="B112" s="8">
        <v>45935</v>
      </c>
      <c r="C112" s="10">
        <v>15</v>
      </c>
      <c r="D112" s="7">
        <v>20.7</v>
      </c>
      <c r="E112" s="7" t="s">
        <v>19</v>
      </c>
      <c r="F112" s="7">
        <v>0</v>
      </c>
      <c r="G112" s="7">
        <v>10.75</v>
      </c>
      <c r="H112" s="7"/>
    </row>
    <row r="113" ht="15.3" spans="1:8">
      <c r="A113" s="7" t="s">
        <v>27</v>
      </c>
      <c r="B113" s="8">
        <v>45935</v>
      </c>
      <c r="C113" s="10">
        <v>16</v>
      </c>
      <c r="D113" s="7">
        <v>20.45</v>
      </c>
      <c r="E113" s="7" t="s">
        <v>17</v>
      </c>
      <c r="F113" s="7">
        <v>0.9</v>
      </c>
      <c r="G113" s="7">
        <v>11.39</v>
      </c>
      <c r="H113" s="7"/>
    </row>
    <row r="114" ht="15.3" hidden="1" spans="1:8">
      <c r="A114" s="7" t="s">
        <v>27</v>
      </c>
      <c r="B114" s="8">
        <v>45935</v>
      </c>
      <c r="C114" s="10">
        <v>17</v>
      </c>
      <c r="D114" s="7">
        <v>20.6</v>
      </c>
      <c r="E114" s="7" t="s">
        <v>17</v>
      </c>
      <c r="F114" s="7">
        <v>0.6</v>
      </c>
      <c r="G114" s="7">
        <v>11.41</v>
      </c>
      <c r="H114" s="7"/>
    </row>
    <row r="115" ht="15.3" spans="1:8">
      <c r="A115" s="7" t="s">
        <v>27</v>
      </c>
      <c r="B115" s="8">
        <v>45935</v>
      </c>
      <c r="C115" s="10">
        <v>18</v>
      </c>
      <c r="D115" s="7">
        <v>20.55</v>
      </c>
      <c r="E115" s="7" t="s">
        <v>17</v>
      </c>
      <c r="F115" s="7">
        <v>0.5</v>
      </c>
      <c r="G115" s="7">
        <v>12.32</v>
      </c>
      <c r="H115" s="7"/>
    </row>
    <row r="116" ht="15.3" hidden="1" spans="1:8">
      <c r="A116" s="7" t="s">
        <v>27</v>
      </c>
      <c r="B116" s="8">
        <v>45935</v>
      </c>
      <c r="C116" s="10">
        <v>19</v>
      </c>
      <c r="D116" s="7">
        <v>20.5</v>
      </c>
      <c r="E116" s="7" t="s">
        <v>19</v>
      </c>
      <c r="F116" s="7">
        <v>0.2</v>
      </c>
      <c r="G116" s="7">
        <v>12.63</v>
      </c>
      <c r="H116" s="7"/>
    </row>
    <row r="117" ht="15.3" spans="1:8">
      <c r="A117" s="7" t="s">
        <v>27</v>
      </c>
      <c r="B117" s="8">
        <v>45935</v>
      </c>
      <c r="C117" s="10">
        <v>20</v>
      </c>
      <c r="D117" s="7">
        <v>20.45</v>
      </c>
      <c r="E117" s="7" t="s">
        <v>17</v>
      </c>
      <c r="F117" s="7">
        <v>0.5</v>
      </c>
      <c r="G117" s="7">
        <v>12.87</v>
      </c>
      <c r="H117" s="7"/>
    </row>
    <row r="118" ht="15.3" hidden="1" spans="1:8">
      <c r="A118" s="7" t="s">
        <v>27</v>
      </c>
      <c r="B118" s="8">
        <v>45935</v>
      </c>
      <c r="C118" s="10">
        <v>21</v>
      </c>
      <c r="D118" s="7">
        <v>19.85</v>
      </c>
      <c r="E118" s="7" t="s">
        <v>17</v>
      </c>
      <c r="F118" s="7">
        <v>1</v>
      </c>
      <c r="G118" s="7">
        <v>12.45</v>
      </c>
      <c r="H118" s="7"/>
    </row>
    <row r="119" ht="15.3" spans="1:8">
      <c r="A119" s="7" t="s">
        <v>27</v>
      </c>
      <c r="B119" s="8">
        <v>45935</v>
      </c>
      <c r="C119" s="10">
        <v>22</v>
      </c>
      <c r="D119" s="7">
        <v>19.3</v>
      </c>
      <c r="E119" s="7" t="s">
        <v>20</v>
      </c>
      <c r="F119" s="7">
        <v>1.6</v>
      </c>
      <c r="G119" s="7">
        <v>12.28</v>
      </c>
      <c r="H119" s="7"/>
    </row>
    <row r="120" ht="15.3" hidden="1" spans="1:8">
      <c r="A120" s="7" t="s">
        <v>27</v>
      </c>
      <c r="B120" s="8">
        <v>45935</v>
      </c>
      <c r="C120" s="10">
        <v>23</v>
      </c>
      <c r="D120" s="7">
        <v>19.15</v>
      </c>
      <c r="E120" s="7" t="s">
        <v>17</v>
      </c>
      <c r="F120" s="7">
        <v>1.2</v>
      </c>
      <c r="G120" s="7">
        <v>11.86</v>
      </c>
      <c r="H120" s="7"/>
    </row>
    <row r="121" ht="15.3" spans="1:8">
      <c r="A121" s="7" t="s">
        <v>27</v>
      </c>
      <c r="B121" s="8">
        <v>45935</v>
      </c>
      <c r="C121" s="10">
        <v>24</v>
      </c>
      <c r="D121" s="7">
        <v>19.1</v>
      </c>
      <c r="E121" s="7" t="s">
        <v>17</v>
      </c>
      <c r="F121" s="7">
        <v>0.7</v>
      </c>
      <c r="G121" s="7">
        <v>11.76</v>
      </c>
      <c r="H121" s="7"/>
    </row>
    <row r="122" ht="15.3" hidden="1" spans="1:8">
      <c r="A122" s="7" t="s">
        <v>27</v>
      </c>
      <c r="B122" s="8">
        <v>45936</v>
      </c>
      <c r="C122" s="10">
        <v>1</v>
      </c>
      <c r="D122" s="7">
        <v>18.8</v>
      </c>
      <c r="E122" s="7" t="s">
        <v>17</v>
      </c>
      <c r="F122" s="7">
        <v>1</v>
      </c>
      <c r="G122" s="7">
        <v>11.85</v>
      </c>
      <c r="H122" s="7"/>
    </row>
    <row r="123" ht="15.3" spans="1:8">
      <c r="A123" s="7" t="s">
        <v>27</v>
      </c>
      <c r="B123" s="8">
        <v>45936</v>
      </c>
      <c r="C123" s="10">
        <v>2</v>
      </c>
      <c r="D123" s="7">
        <v>18.05</v>
      </c>
      <c r="E123" s="7" t="s">
        <v>20</v>
      </c>
      <c r="F123" s="7">
        <v>1.9</v>
      </c>
      <c r="G123" s="7">
        <v>11.96</v>
      </c>
      <c r="H123" s="7"/>
    </row>
    <row r="124" ht="15.3" hidden="1" spans="1:8">
      <c r="A124" s="7" t="s">
        <v>27</v>
      </c>
      <c r="B124" s="8">
        <v>45936</v>
      </c>
      <c r="C124" s="10">
        <v>3</v>
      </c>
      <c r="D124" s="7">
        <v>17.55</v>
      </c>
      <c r="E124" s="7" t="s">
        <v>20</v>
      </c>
      <c r="F124" s="7">
        <v>1.7</v>
      </c>
      <c r="G124" s="7">
        <v>12.39</v>
      </c>
      <c r="H124" s="7"/>
    </row>
    <row r="125" ht="15.3" spans="1:8">
      <c r="A125" s="7" t="s">
        <v>27</v>
      </c>
      <c r="B125" s="8">
        <v>45936</v>
      </c>
      <c r="C125" s="10">
        <v>4</v>
      </c>
      <c r="D125" s="7">
        <v>17.2</v>
      </c>
      <c r="E125" s="7" t="s">
        <v>20</v>
      </c>
      <c r="F125" s="7">
        <v>1.5</v>
      </c>
      <c r="G125" s="7">
        <v>12.76</v>
      </c>
      <c r="H125" s="7"/>
    </row>
    <row r="126" ht="15.3" hidden="1" spans="1:8">
      <c r="A126" s="7" t="s">
        <v>27</v>
      </c>
      <c r="B126" s="8">
        <v>45936</v>
      </c>
      <c r="C126" s="10">
        <v>5</v>
      </c>
      <c r="D126" s="7">
        <v>16.85</v>
      </c>
      <c r="E126" s="7" t="s">
        <v>20</v>
      </c>
      <c r="F126" s="7">
        <v>2</v>
      </c>
      <c r="G126" s="7">
        <v>12.97</v>
      </c>
      <c r="H126" s="7"/>
    </row>
    <row r="127" ht="15.3" spans="1:8">
      <c r="A127" s="7" t="s">
        <v>27</v>
      </c>
      <c r="B127" s="8">
        <v>45936</v>
      </c>
      <c r="C127" s="10">
        <v>6</v>
      </c>
      <c r="D127" s="7">
        <v>16.6</v>
      </c>
      <c r="E127" s="7" t="s">
        <v>20</v>
      </c>
      <c r="F127" s="7">
        <v>1.7</v>
      </c>
      <c r="G127" s="7">
        <v>12.47</v>
      </c>
      <c r="H127" s="7"/>
    </row>
    <row r="128" ht="15.3" hidden="1" spans="1:8">
      <c r="A128" s="7" t="s">
        <v>27</v>
      </c>
      <c r="B128" s="8">
        <v>45936</v>
      </c>
      <c r="C128" s="10">
        <v>7</v>
      </c>
      <c r="D128" s="7">
        <v>16.75</v>
      </c>
      <c r="E128" s="7" t="s">
        <v>17</v>
      </c>
      <c r="F128" s="7">
        <v>0.4</v>
      </c>
      <c r="G128" s="7">
        <v>11.96</v>
      </c>
      <c r="H128" s="7"/>
    </row>
    <row r="129" ht="15.3" spans="1:8">
      <c r="A129" s="7" t="s">
        <v>27</v>
      </c>
      <c r="B129" s="8">
        <v>45936</v>
      </c>
      <c r="C129" s="10">
        <v>8</v>
      </c>
      <c r="D129" s="7">
        <v>17</v>
      </c>
      <c r="E129" s="7" t="s">
        <v>16</v>
      </c>
      <c r="F129" s="7">
        <v>0.1</v>
      </c>
      <c r="G129" s="7">
        <v>11.86</v>
      </c>
      <c r="H129" s="7"/>
    </row>
    <row r="130" ht="15.3" hidden="1" spans="1:8">
      <c r="A130" s="7" t="s">
        <v>27</v>
      </c>
      <c r="B130" s="8">
        <v>45936</v>
      </c>
      <c r="C130" s="10">
        <v>9</v>
      </c>
      <c r="D130" s="7">
        <v>17.1</v>
      </c>
      <c r="E130" s="7" t="s">
        <v>16</v>
      </c>
      <c r="F130" s="7">
        <v>0.2</v>
      </c>
      <c r="G130" s="7">
        <v>12.22</v>
      </c>
      <c r="H130" s="7"/>
    </row>
    <row r="131" ht="15.3" spans="1:8">
      <c r="A131" s="7" t="s">
        <v>27</v>
      </c>
      <c r="B131" s="8">
        <v>45936</v>
      </c>
      <c r="C131" s="10">
        <v>10</v>
      </c>
      <c r="D131" s="7">
        <v>17.3</v>
      </c>
      <c r="E131" s="7" t="s">
        <v>16</v>
      </c>
      <c r="F131" s="7">
        <v>0.1</v>
      </c>
      <c r="G131" s="7">
        <v>12.22</v>
      </c>
      <c r="H131" s="7"/>
    </row>
    <row r="132" ht="15.3" hidden="1" spans="1:8">
      <c r="A132" s="7" t="s">
        <v>27</v>
      </c>
      <c r="B132" s="8">
        <v>45936</v>
      </c>
      <c r="C132" s="10">
        <v>11</v>
      </c>
      <c r="D132" s="7">
        <v>17.45</v>
      </c>
      <c r="E132" s="7" t="s">
        <v>16</v>
      </c>
      <c r="F132" s="7">
        <v>0</v>
      </c>
      <c r="G132" s="7">
        <v>12.45</v>
      </c>
      <c r="H132" s="7"/>
    </row>
    <row r="133" ht="15.3" spans="1:8">
      <c r="A133" s="7" t="s">
        <v>27</v>
      </c>
      <c r="B133" s="8">
        <v>45936</v>
      </c>
      <c r="C133" s="10">
        <v>12</v>
      </c>
      <c r="D133" s="7">
        <v>17.25</v>
      </c>
      <c r="E133" s="7" t="s">
        <v>16</v>
      </c>
      <c r="F133" s="7">
        <v>0</v>
      </c>
      <c r="G133" s="7">
        <v>11.96</v>
      </c>
      <c r="H133" s="7"/>
    </row>
    <row r="134" ht="15.3" hidden="1" spans="1:8">
      <c r="A134" s="7" t="s">
        <v>27</v>
      </c>
      <c r="B134" s="8">
        <v>45936</v>
      </c>
      <c r="C134" s="10">
        <v>13</v>
      </c>
      <c r="D134" s="7">
        <v>17.15</v>
      </c>
      <c r="E134" s="7" t="s">
        <v>16</v>
      </c>
      <c r="F134" s="7">
        <v>0.1</v>
      </c>
      <c r="G134" s="7">
        <v>10.66</v>
      </c>
      <c r="H134" s="7"/>
    </row>
    <row r="135" ht="15.3" spans="1:8">
      <c r="A135" s="7" t="s">
        <v>27</v>
      </c>
      <c r="B135" s="8">
        <v>45936</v>
      </c>
      <c r="C135" s="10">
        <v>14</v>
      </c>
      <c r="D135" s="7">
        <v>17.55</v>
      </c>
      <c r="E135" s="7" t="s">
        <v>16</v>
      </c>
      <c r="F135" s="7">
        <v>0</v>
      </c>
      <c r="G135" s="7">
        <v>9.82</v>
      </c>
      <c r="H135" s="7"/>
    </row>
    <row r="136" ht="15.3" hidden="1" spans="1:8">
      <c r="A136" s="7" t="s">
        <v>27</v>
      </c>
      <c r="B136" s="8">
        <v>45936</v>
      </c>
      <c r="C136" s="10">
        <v>15</v>
      </c>
      <c r="D136" s="7">
        <v>17.95</v>
      </c>
      <c r="E136" s="7" t="s">
        <v>16</v>
      </c>
      <c r="F136" s="7">
        <v>0</v>
      </c>
      <c r="G136" s="7">
        <v>9.32</v>
      </c>
      <c r="H136" s="7"/>
    </row>
    <row r="137" ht="15.3" spans="1:8">
      <c r="A137" s="7" t="s">
        <v>27</v>
      </c>
      <c r="B137" s="8">
        <v>45936</v>
      </c>
      <c r="C137" s="10">
        <v>16</v>
      </c>
      <c r="D137" s="7">
        <v>18.35</v>
      </c>
      <c r="E137" s="7" t="s">
        <v>16</v>
      </c>
      <c r="F137" s="7">
        <v>0</v>
      </c>
      <c r="G137" s="7">
        <v>7.94</v>
      </c>
      <c r="H137" s="7"/>
    </row>
    <row r="138" ht="15.3" hidden="1" spans="1:8">
      <c r="A138" s="7" t="s">
        <v>27</v>
      </c>
      <c r="B138" s="8">
        <v>45936</v>
      </c>
      <c r="C138" s="10">
        <v>17</v>
      </c>
      <c r="D138" s="7">
        <v>18.8</v>
      </c>
      <c r="E138" s="7" t="s">
        <v>16</v>
      </c>
      <c r="F138" s="7">
        <v>0</v>
      </c>
      <c r="G138" s="7">
        <v>7.98</v>
      </c>
      <c r="H138" s="7"/>
    </row>
    <row r="139" ht="15.3" spans="1:8">
      <c r="A139" s="7" t="s">
        <v>27</v>
      </c>
      <c r="B139" s="8">
        <v>45936</v>
      </c>
      <c r="C139" s="10">
        <v>18</v>
      </c>
      <c r="D139" s="7">
        <v>19.4</v>
      </c>
      <c r="E139" s="7" t="s">
        <v>16</v>
      </c>
      <c r="F139" s="7">
        <v>0</v>
      </c>
      <c r="G139" s="7">
        <v>7.97</v>
      </c>
      <c r="H139" s="7"/>
    </row>
    <row r="140" ht="15.3" hidden="1" spans="1:8">
      <c r="A140" s="7" t="s">
        <v>27</v>
      </c>
      <c r="B140" s="8">
        <v>45936</v>
      </c>
      <c r="C140" s="10">
        <v>19</v>
      </c>
      <c r="D140" s="7">
        <v>19.75</v>
      </c>
      <c r="E140" s="7" t="s">
        <v>16</v>
      </c>
      <c r="F140" s="7">
        <v>0</v>
      </c>
      <c r="G140" s="7">
        <v>7.59</v>
      </c>
      <c r="H140" s="7"/>
    </row>
    <row r="141" ht="15.3" spans="1:8">
      <c r="A141" s="7" t="s">
        <v>27</v>
      </c>
      <c r="B141" s="8">
        <v>45936</v>
      </c>
      <c r="C141" s="10">
        <v>20</v>
      </c>
      <c r="D141" s="7">
        <v>19.75</v>
      </c>
      <c r="E141" s="7" t="s">
        <v>16</v>
      </c>
      <c r="F141" s="7">
        <v>0</v>
      </c>
      <c r="G141" s="7">
        <v>7.4</v>
      </c>
      <c r="H141" s="7"/>
    </row>
    <row r="142" ht="15.3" hidden="1" spans="1:8">
      <c r="A142" s="7" t="s">
        <v>27</v>
      </c>
      <c r="B142" s="8">
        <v>45936</v>
      </c>
      <c r="C142" s="10">
        <v>21</v>
      </c>
      <c r="D142" s="7">
        <v>19.75</v>
      </c>
      <c r="E142" s="7" t="s">
        <v>16</v>
      </c>
      <c r="F142" s="7">
        <v>0</v>
      </c>
      <c r="G142" s="7">
        <v>6.69</v>
      </c>
      <c r="H142" s="7"/>
    </row>
    <row r="143" ht="15.3" spans="1:8">
      <c r="A143" s="7" t="s">
        <v>27</v>
      </c>
      <c r="B143" s="8">
        <v>45936</v>
      </c>
      <c r="C143" s="10">
        <v>22</v>
      </c>
      <c r="D143" s="7">
        <v>19.7</v>
      </c>
      <c r="E143" s="7" t="s">
        <v>16</v>
      </c>
      <c r="F143" s="7">
        <v>0</v>
      </c>
      <c r="G143" s="7">
        <v>6.04</v>
      </c>
      <c r="H143" s="7"/>
    </row>
    <row r="144" ht="15.3" hidden="1" spans="1:8">
      <c r="A144" s="7" t="s">
        <v>27</v>
      </c>
      <c r="B144" s="8">
        <v>45936</v>
      </c>
      <c r="C144" s="10">
        <v>23</v>
      </c>
      <c r="D144" s="7">
        <v>19.65</v>
      </c>
      <c r="E144" s="7" t="s">
        <v>16</v>
      </c>
      <c r="F144" s="7">
        <v>0</v>
      </c>
      <c r="G144" s="7">
        <v>5.93</v>
      </c>
      <c r="H144" s="7"/>
    </row>
    <row r="145" ht="15.3" spans="1:8">
      <c r="A145" s="7" t="s">
        <v>27</v>
      </c>
      <c r="B145" s="8">
        <v>45936</v>
      </c>
      <c r="C145" s="10">
        <v>24</v>
      </c>
      <c r="D145" s="7">
        <v>19.6</v>
      </c>
      <c r="E145" s="7" t="s">
        <v>16</v>
      </c>
      <c r="F145" s="7">
        <v>0</v>
      </c>
      <c r="G145" s="7">
        <v>6.53</v>
      </c>
      <c r="H145" s="7"/>
    </row>
    <row r="146" ht="15.3" hidden="1" spans="1:8">
      <c r="A146" s="7" t="s">
        <v>27</v>
      </c>
      <c r="B146" s="8">
        <v>45937</v>
      </c>
      <c r="C146" s="10">
        <v>1</v>
      </c>
      <c r="D146" s="7">
        <v>19.45</v>
      </c>
      <c r="E146" s="7" t="s">
        <v>16</v>
      </c>
      <c r="F146" s="7">
        <v>0</v>
      </c>
      <c r="G146" s="7">
        <v>6.8</v>
      </c>
      <c r="H146" s="7"/>
    </row>
    <row r="147" ht="15.3" spans="1:8">
      <c r="A147" s="7" t="s">
        <v>27</v>
      </c>
      <c r="B147" s="8">
        <v>45937</v>
      </c>
      <c r="C147" s="10">
        <v>2</v>
      </c>
      <c r="D147" s="7">
        <v>18.95</v>
      </c>
      <c r="E147" s="7" t="s">
        <v>19</v>
      </c>
      <c r="F147" s="7">
        <v>0</v>
      </c>
      <c r="G147" s="7">
        <v>7.71</v>
      </c>
      <c r="H147" s="7"/>
    </row>
    <row r="148" ht="15.3" hidden="1" spans="1:8">
      <c r="A148" s="7" t="s">
        <v>27</v>
      </c>
      <c r="B148" s="8">
        <v>45937</v>
      </c>
      <c r="C148" s="10">
        <v>3</v>
      </c>
      <c r="D148" s="7">
        <v>19.1</v>
      </c>
      <c r="E148" s="7" t="s">
        <v>16</v>
      </c>
      <c r="F148" s="7">
        <v>0</v>
      </c>
      <c r="G148" s="7">
        <v>6.35</v>
      </c>
      <c r="H148" s="7"/>
    </row>
    <row r="149" ht="15.3" spans="1:8">
      <c r="A149" s="7" t="s">
        <v>27</v>
      </c>
      <c r="B149" s="8">
        <v>45937</v>
      </c>
      <c r="C149" s="10">
        <v>4</v>
      </c>
      <c r="D149" s="7">
        <v>18.75</v>
      </c>
      <c r="E149" s="7" t="s">
        <v>16</v>
      </c>
      <c r="F149" s="7">
        <v>0</v>
      </c>
      <c r="G149" s="7">
        <v>7.17</v>
      </c>
      <c r="H149" s="7"/>
    </row>
    <row r="150" ht="15.3" hidden="1" spans="1:8">
      <c r="A150" s="7" t="s">
        <v>27</v>
      </c>
      <c r="B150" s="8">
        <v>45937</v>
      </c>
      <c r="C150" s="10">
        <v>5</v>
      </c>
      <c r="D150" s="7">
        <v>18.6</v>
      </c>
      <c r="E150" s="7" t="s">
        <v>16</v>
      </c>
      <c r="F150" s="7">
        <v>0</v>
      </c>
      <c r="G150" s="7">
        <v>7.29</v>
      </c>
      <c r="H150" s="7"/>
    </row>
    <row r="151" ht="15.3" spans="1:8">
      <c r="A151" s="7" t="s">
        <v>27</v>
      </c>
      <c r="B151" s="8">
        <v>45937</v>
      </c>
      <c r="C151" s="10">
        <v>6</v>
      </c>
      <c r="D151" s="7">
        <v>18.55</v>
      </c>
      <c r="E151" s="7" t="s">
        <v>16</v>
      </c>
      <c r="F151" s="7">
        <v>0</v>
      </c>
      <c r="G151" s="7">
        <v>6.63</v>
      </c>
      <c r="H151" s="7"/>
    </row>
    <row r="152" ht="15.3" hidden="1" spans="1:8">
      <c r="A152" s="7" t="s">
        <v>27</v>
      </c>
      <c r="B152" s="8">
        <v>45937</v>
      </c>
      <c r="C152" s="10">
        <v>7</v>
      </c>
      <c r="D152" s="7">
        <v>18.6</v>
      </c>
      <c r="E152" s="7" t="s">
        <v>16</v>
      </c>
      <c r="F152" s="7">
        <v>0</v>
      </c>
      <c r="G152" s="7">
        <v>5.98</v>
      </c>
      <c r="H152" s="7"/>
    </row>
    <row r="153" ht="15.3" spans="1:8">
      <c r="A153" s="7" t="s">
        <v>27</v>
      </c>
      <c r="B153" s="8">
        <v>45937</v>
      </c>
      <c r="C153" s="10">
        <v>8</v>
      </c>
      <c r="D153" s="7">
        <v>18.85</v>
      </c>
      <c r="E153" s="7" t="s">
        <v>16</v>
      </c>
      <c r="F153" s="7">
        <v>0</v>
      </c>
      <c r="G153" s="7">
        <v>4.88</v>
      </c>
      <c r="H153" s="7"/>
    </row>
    <row r="154" ht="15.3" hidden="1" spans="1:8">
      <c r="A154" s="7" t="s">
        <v>27</v>
      </c>
      <c r="B154" s="8">
        <v>45937</v>
      </c>
      <c r="C154" s="10">
        <v>9</v>
      </c>
      <c r="D154" s="7">
        <v>19.25</v>
      </c>
      <c r="E154" s="7" t="s">
        <v>16</v>
      </c>
      <c r="F154" s="7">
        <v>0</v>
      </c>
      <c r="G154" s="7">
        <v>3.95</v>
      </c>
      <c r="H154" s="7"/>
    </row>
    <row r="155" ht="15.3" spans="1:8">
      <c r="A155" s="7" t="s">
        <v>27</v>
      </c>
      <c r="B155" s="8">
        <v>45937</v>
      </c>
      <c r="C155" s="10">
        <v>10</v>
      </c>
      <c r="D155" s="7">
        <v>19.3</v>
      </c>
      <c r="E155" s="7" t="s">
        <v>16</v>
      </c>
      <c r="F155" s="7">
        <v>0</v>
      </c>
      <c r="G155" s="7">
        <v>4.05</v>
      </c>
      <c r="H155" s="7"/>
    </row>
    <row r="156" ht="15.3" hidden="1" spans="1:8">
      <c r="A156" s="7" t="s">
        <v>27</v>
      </c>
      <c r="B156" s="8">
        <v>45937</v>
      </c>
      <c r="C156" s="10">
        <v>11</v>
      </c>
      <c r="D156" s="7">
        <v>19.35</v>
      </c>
      <c r="E156" s="7" t="s">
        <v>16</v>
      </c>
      <c r="F156" s="7">
        <v>0</v>
      </c>
      <c r="G156" s="7">
        <v>3.67</v>
      </c>
      <c r="H156" s="7"/>
    </row>
    <row r="157" ht="15.3" spans="1:8">
      <c r="A157" s="7" t="s">
        <v>27</v>
      </c>
      <c r="B157" s="8">
        <v>45937</v>
      </c>
      <c r="C157" s="10">
        <v>12</v>
      </c>
      <c r="D157" s="7">
        <v>19.45</v>
      </c>
      <c r="E157" s="7" t="s">
        <v>16</v>
      </c>
      <c r="F157" s="7">
        <v>0</v>
      </c>
      <c r="G157" s="7">
        <v>3.69</v>
      </c>
      <c r="H157" s="7"/>
    </row>
    <row r="158" ht="15.3" hidden="1" spans="1:8">
      <c r="A158" s="7" t="s">
        <v>27</v>
      </c>
      <c r="B158" s="8">
        <v>45937</v>
      </c>
      <c r="C158" s="10">
        <v>13</v>
      </c>
      <c r="D158" s="7">
        <v>19.65</v>
      </c>
      <c r="E158" s="7" t="s">
        <v>16</v>
      </c>
      <c r="F158" s="7">
        <v>0</v>
      </c>
      <c r="G158" s="7">
        <v>3.85</v>
      </c>
      <c r="H158" s="7"/>
    </row>
    <row r="159" ht="15.3" spans="1:8">
      <c r="A159" s="7" t="s">
        <v>27</v>
      </c>
      <c r="B159" s="8">
        <v>45937</v>
      </c>
      <c r="C159" s="10">
        <v>14</v>
      </c>
      <c r="D159" s="7">
        <v>19.85</v>
      </c>
      <c r="E159" s="7" t="s">
        <v>16</v>
      </c>
      <c r="F159" s="7">
        <v>0</v>
      </c>
      <c r="G159" s="7">
        <v>4.13</v>
      </c>
      <c r="H159" s="7"/>
    </row>
    <row r="160" ht="15.3" hidden="1" spans="1:8">
      <c r="A160" s="7" t="s">
        <v>27</v>
      </c>
      <c r="B160" s="8">
        <v>45937</v>
      </c>
      <c r="C160" s="10">
        <v>15</v>
      </c>
      <c r="D160" s="7">
        <v>20.55</v>
      </c>
      <c r="E160" s="7" t="s">
        <v>16</v>
      </c>
      <c r="F160" s="7">
        <v>0</v>
      </c>
      <c r="G160" s="7">
        <v>4.13</v>
      </c>
      <c r="H160" s="7"/>
    </row>
    <row r="161" ht="15.3" spans="1:8">
      <c r="A161" s="7" t="s">
        <v>27</v>
      </c>
      <c r="B161" s="8">
        <v>45937</v>
      </c>
      <c r="C161" s="10">
        <v>16</v>
      </c>
      <c r="D161" s="7">
        <v>20.75</v>
      </c>
      <c r="E161" s="7" t="s">
        <v>16</v>
      </c>
      <c r="F161" s="7">
        <v>0</v>
      </c>
      <c r="G161" s="7">
        <v>4.88</v>
      </c>
      <c r="H161" s="7"/>
    </row>
    <row r="162" ht="15.3" hidden="1" spans="1:8">
      <c r="A162" s="7" t="s">
        <v>27</v>
      </c>
      <c r="B162" s="8">
        <v>45937</v>
      </c>
      <c r="C162" s="10">
        <v>17</v>
      </c>
      <c r="D162" s="7">
        <v>20.9</v>
      </c>
      <c r="E162" s="7" t="s">
        <v>16</v>
      </c>
      <c r="F162" s="7">
        <v>0</v>
      </c>
      <c r="G162" s="7">
        <v>5.7</v>
      </c>
      <c r="H162" s="7"/>
    </row>
    <row r="163" ht="15.3" spans="1:8">
      <c r="A163" s="7" t="s">
        <v>27</v>
      </c>
      <c r="B163" s="8">
        <v>45937</v>
      </c>
      <c r="C163" s="10">
        <v>18</v>
      </c>
      <c r="D163" s="7">
        <v>21</v>
      </c>
      <c r="E163" s="7" t="s">
        <v>16</v>
      </c>
      <c r="F163" s="7">
        <v>0</v>
      </c>
      <c r="G163" s="7">
        <v>5.36</v>
      </c>
      <c r="H163" s="7"/>
    </row>
    <row r="164" ht="15.3" hidden="1" spans="1:8">
      <c r="A164" s="7" t="s">
        <v>27</v>
      </c>
      <c r="B164" s="8">
        <v>45937</v>
      </c>
      <c r="C164" s="10">
        <v>19</v>
      </c>
      <c r="D164" s="7">
        <v>21.05</v>
      </c>
      <c r="E164" s="7" t="s">
        <v>16</v>
      </c>
      <c r="F164" s="7">
        <v>0</v>
      </c>
      <c r="G164" s="7">
        <v>5.15</v>
      </c>
      <c r="H164" s="7"/>
    </row>
    <row r="165" ht="15.3" spans="1:8">
      <c r="A165" s="7" t="s">
        <v>27</v>
      </c>
      <c r="B165" s="8">
        <v>45937</v>
      </c>
      <c r="C165" s="10">
        <v>20</v>
      </c>
      <c r="D165" s="7">
        <v>21.1</v>
      </c>
      <c r="E165" s="7" t="s">
        <v>16</v>
      </c>
      <c r="F165" s="7">
        <v>0</v>
      </c>
      <c r="G165" s="7">
        <v>5.26</v>
      </c>
      <c r="H165" s="7"/>
    </row>
    <row r="166" ht="15.3" hidden="1" spans="1:8">
      <c r="A166" s="7" t="s">
        <v>27</v>
      </c>
      <c r="B166" s="8">
        <v>45937</v>
      </c>
      <c r="C166" s="10">
        <v>21</v>
      </c>
      <c r="D166" s="7">
        <v>21.3</v>
      </c>
      <c r="E166" s="7" t="s">
        <v>16</v>
      </c>
      <c r="F166" s="7">
        <v>0</v>
      </c>
      <c r="G166" s="7">
        <v>5.81</v>
      </c>
      <c r="H166" s="7"/>
    </row>
    <row r="167" ht="15.3" spans="1:8">
      <c r="A167" s="7" t="s">
        <v>27</v>
      </c>
      <c r="B167" s="8">
        <v>45937</v>
      </c>
      <c r="C167" s="10">
        <v>22</v>
      </c>
      <c r="D167" s="7">
        <v>21.45</v>
      </c>
      <c r="E167" s="7" t="s">
        <v>16</v>
      </c>
      <c r="F167" s="7">
        <v>0</v>
      </c>
      <c r="G167" s="7">
        <v>5.74</v>
      </c>
      <c r="H167" s="7"/>
    </row>
    <row r="168" ht="15.3" hidden="1" spans="1:8">
      <c r="A168" s="7" t="s">
        <v>27</v>
      </c>
      <c r="B168" s="8">
        <v>45937</v>
      </c>
      <c r="C168" s="10">
        <v>23</v>
      </c>
      <c r="D168" s="7">
        <v>21.4</v>
      </c>
      <c r="E168" s="7" t="s">
        <v>16</v>
      </c>
      <c r="F168" s="7">
        <v>0</v>
      </c>
      <c r="G168" s="7">
        <v>5.48</v>
      </c>
      <c r="H168" s="7"/>
    </row>
    <row r="169" ht="15.3" spans="1:8">
      <c r="A169" s="7" t="s">
        <v>27</v>
      </c>
      <c r="B169" s="8">
        <v>45937</v>
      </c>
      <c r="C169" s="10">
        <v>24</v>
      </c>
      <c r="D169" s="7">
        <v>20.95</v>
      </c>
      <c r="E169" s="7" t="s">
        <v>16</v>
      </c>
      <c r="F169" s="7">
        <v>0</v>
      </c>
      <c r="G169" s="7">
        <v>4.91</v>
      </c>
      <c r="H169" s="7"/>
    </row>
    <row r="170" ht="15.3" hidden="1" spans="1:8">
      <c r="A170" s="7" t="s">
        <v>27</v>
      </c>
      <c r="B170" s="8">
        <v>45938</v>
      </c>
      <c r="C170" s="10">
        <v>1</v>
      </c>
      <c r="D170" s="7">
        <v>20.45</v>
      </c>
      <c r="E170" s="7" t="s">
        <v>16</v>
      </c>
      <c r="F170" s="7">
        <v>0</v>
      </c>
      <c r="G170" s="7">
        <v>4.51</v>
      </c>
      <c r="H170" s="7"/>
    </row>
    <row r="171" ht="15.3" spans="1:8">
      <c r="A171" s="7" t="s">
        <v>27</v>
      </c>
      <c r="B171" s="8">
        <v>45938</v>
      </c>
      <c r="C171" s="10">
        <v>2</v>
      </c>
      <c r="D171" s="7">
        <v>19.65</v>
      </c>
      <c r="E171" s="7" t="s">
        <v>16</v>
      </c>
      <c r="F171" s="7">
        <v>0</v>
      </c>
      <c r="G171" s="7">
        <v>4.19</v>
      </c>
      <c r="H171" s="7"/>
    </row>
    <row r="172" ht="15.3" hidden="1" spans="1:8">
      <c r="A172" s="7" t="s">
        <v>27</v>
      </c>
      <c r="B172" s="8">
        <v>45938</v>
      </c>
      <c r="C172" s="10">
        <v>3</v>
      </c>
      <c r="D172" s="7">
        <v>19.75</v>
      </c>
      <c r="E172" s="7" t="s">
        <v>16</v>
      </c>
      <c r="F172" s="7">
        <v>0</v>
      </c>
      <c r="G172" s="7">
        <v>4.6</v>
      </c>
      <c r="H172" s="7"/>
    </row>
    <row r="173" ht="15.3" spans="1:8">
      <c r="A173" s="7" t="s">
        <v>27</v>
      </c>
      <c r="B173" s="8">
        <v>45938</v>
      </c>
      <c r="C173" s="10">
        <v>4</v>
      </c>
      <c r="D173" s="7">
        <v>20.4</v>
      </c>
      <c r="E173" s="7" t="s">
        <v>16</v>
      </c>
      <c r="F173" s="7">
        <v>0</v>
      </c>
      <c r="G173" s="7">
        <v>7.58</v>
      </c>
      <c r="H173" s="7"/>
    </row>
    <row r="174" ht="15.3" hidden="1" spans="1:8">
      <c r="A174" s="7" t="s">
        <v>27</v>
      </c>
      <c r="B174" s="8">
        <v>45938</v>
      </c>
      <c r="C174" s="10">
        <v>5</v>
      </c>
      <c r="D174" s="7">
        <v>21</v>
      </c>
      <c r="E174" s="7" t="s">
        <v>19</v>
      </c>
      <c r="F174" s="7">
        <v>0.1</v>
      </c>
      <c r="G174" s="7">
        <v>14.59</v>
      </c>
      <c r="H174" s="7"/>
    </row>
    <row r="175" ht="15.3" spans="1:8">
      <c r="A175" s="7" t="s">
        <v>27</v>
      </c>
      <c r="B175" s="8">
        <v>45938</v>
      </c>
      <c r="C175" s="10">
        <v>6</v>
      </c>
      <c r="D175" s="7">
        <v>20.75</v>
      </c>
      <c r="E175" s="7" t="s">
        <v>19</v>
      </c>
      <c r="F175" s="7">
        <v>0</v>
      </c>
      <c r="G175" s="7">
        <v>14.63</v>
      </c>
      <c r="H175" s="7"/>
    </row>
    <row r="176" ht="15.3" hidden="1" spans="1:8">
      <c r="A176" s="7" t="s">
        <v>27</v>
      </c>
      <c r="B176" s="8">
        <v>45938</v>
      </c>
      <c r="C176" s="10">
        <v>7</v>
      </c>
      <c r="D176" s="7">
        <v>20.15</v>
      </c>
      <c r="E176" s="7" t="s">
        <v>18</v>
      </c>
      <c r="F176" s="7">
        <v>0</v>
      </c>
      <c r="G176" s="7">
        <v>14.2</v>
      </c>
      <c r="H176" s="7"/>
    </row>
    <row r="177" ht="15.3" spans="1:8">
      <c r="A177" s="7" t="s">
        <v>27</v>
      </c>
      <c r="B177" s="8">
        <v>45938</v>
      </c>
      <c r="C177" s="10">
        <v>8</v>
      </c>
      <c r="D177" s="7">
        <v>19.5</v>
      </c>
      <c r="E177" s="7" t="s">
        <v>19</v>
      </c>
      <c r="F177" s="7">
        <v>0</v>
      </c>
      <c r="G177" s="7">
        <v>14.14</v>
      </c>
      <c r="H177" s="7"/>
    </row>
    <row r="178" ht="15.3" hidden="1" spans="1:8">
      <c r="A178" s="7" t="s">
        <v>27</v>
      </c>
      <c r="B178" s="8">
        <v>45938</v>
      </c>
      <c r="C178" s="10">
        <v>9</v>
      </c>
      <c r="D178" s="7">
        <v>18.65</v>
      </c>
      <c r="E178" s="7" t="s">
        <v>17</v>
      </c>
      <c r="F178" s="7">
        <v>0.5</v>
      </c>
      <c r="G178" s="7">
        <v>14.19</v>
      </c>
      <c r="H178" s="7"/>
    </row>
    <row r="179" ht="15.3" spans="1:8">
      <c r="A179" s="7" t="s">
        <v>27</v>
      </c>
      <c r="B179" s="8">
        <v>45938</v>
      </c>
      <c r="C179" s="10">
        <v>10</v>
      </c>
      <c r="D179" s="7">
        <v>18.3</v>
      </c>
      <c r="E179" s="7" t="s">
        <v>16</v>
      </c>
      <c r="F179" s="7">
        <v>0.2</v>
      </c>
      <c r="G179" s="7">
        <v>14.72</v>
      </c>
      <c r="H179" s="7"/>
    </row>
    <row r="180" ht="15.3" hidden="1" spans="1:8">
      <c r="A180" s="7" t="s">
        <v>27</v>
      </c>
      <c r="B180" s="8">
        <v>45938</v>
      </c>
      <c r="C180" s="10">
        <v>11</v>
      </c>
      <c r="D180" s="7">
        <v>17.85</v>
      </c>
      <c r="E180" s="7" t="s">
        <v>16</v>
      </c>
      <c r="F180" s="7">
        <v>0.1</v>
      </c>
      <c r="G180" s="7">
        <v>14.41</v>
      </c>
      <c r="H180" s="7"/>
    </row>
    <row r="181" ht="15.3" spans="1:8">
      <c r="A181" s="7" t="s">
        <v>27</v>
      </c>
      <c r="B181" s="8">
        <v>45938</v>
      </c>
      <c r="C181" s="10">
        <v>12</v>
      </c>
      <c r="D181" s="7">
        <v>17.75</v>
      </c>
      <c r="E181" s="7" t="s">
        <v>16</v>
      </c>
      <c r="F181" s="7">
        <v>0</v>
      </c>
      <c r="G181" s="7">
        <v>14.29</v>
      </c>
      <c r="H181" s="7"/>
    </row>
    <row r="182" ht="15.3" hidden="1" spans="1:8">
      <c r="A182" s="7" t="s">
        <v>27</v>
      </c>
      <c r="B182" s="8">
        <v>45938</v>
      </c>
      <c r="C182" s="10">
        <v>13</v>
      </c>
      <c r="D182" s="7">
        <v>17.6</v>
      </c>
      <c r="E182" s="7" t="s">
        <v>16</v>
      </c>
      <c r="F182" s="7">
        <v>0</v>
      </c>
      <c r="G182" s="7">
        <v>13.99</v>
      </c>
      <c r="H182" s="7"/>
    </row>
    <row r="183" ht="15.3" spans="1:8">
      <c r="A183" s="7" t="s">
        <v>27</v>
      </c>
      <c r="B183" s="8">
        <v>45938</v>
      </c>
      <c r="C183" s="10">
        <v>14</v>
      </c>
      <c r="D183" s="7">
        <v>17.6</v>
      </c>
      <c r="E183" s="7" t="s">
        <v>16</v>
      </c>
      <c r="F183" s="7">
        <v>0</v>
      </c>
      <c r="G183" s="7">
        <v>13.36</v>
      </c>
      <c r="H183" s="7"/>
    </row>
    <row r="184" ht="15.3" hidden="1" spans="1:8">
      <c r="A184" s="7" t="s">
        <v>27</v>
      </c>
      <c r="B184" s="8">
        <v>45938</v>
      </c>
      <c r="C184" s="10">
        <v>15</v>
      </c>
      <c r="D184" s="7">
        <v>17.75</v>
      </c>
      <c r="E184" s="7" t="s">
        <v>16</v>
      </c>
      <c r="F184" s="7">
        <v>0</v>
      </c>
      <c r="G184" s="7">
        <v>13.1</v>
      </c>
      <c r="H184" s="7"/>
    </row>
    <row r="185" ht="15.3" spans="1:8">
      <c r="A185" s="7" t="s">
        <v>27</v>
      </c>
      <c r="B185" s="8">
        <v>45938</v>
      </c>
      <c r="C185" s="10">
        <v>16</v>
      </c>
      <c r="D185" s="7">
        <v>17.7</v>
      </c>
      <c r="E185" s="7" t="s">
        <v>16</v>
      </c>
      <c r="F185" s="7">
        <v>0</v>
      </c>
      <c r="G185" s="7">
        <v>13.16</v>
      </c>
      <c r="H185" s="7"/>
    </row>
    <row r="186" ht="15.3" hidden="1" spans="1:8">
      <c r="A186" s="7" t="s">
        <v>27</v>
      </c>
      <c r="B186" s="8">
        <v>45938</v>
      </c>
      <c r="C186" s="10">
        <v>17</v>
      </c>
      <c r="D186" s="7">
        <v>17.4</v>
      </c>
      <c r="E186" s="7" t="s">
        <v>16</v>
      </c>
      <c r="F186" s="7">
        <v>0.2</v>
      </c>
      <c r="G186" s="7">
        <v>13.33</v>
      </c>
      <c r="H186" s="7"/>
    </row>
    <row r="187" ht="15.3" spans="1:8">
      <c r="A187" s="7" t="s">
        <v>27</v>
      </c>
      <c r="B187" s="8">
        <v>45938</v>
      </c>
      <c r="C187" s="10">
        <v>18</v>
      </c>
      <c r="D187" s="7">
        <v>17.25</v>
      </c>
      <c r="E187" s="7" t="s">
        <v>17</v>
      </c>
      <c r="F187" s="7">
        <v>0.4</v>
      </c>
      <c r="G187" s="7">
        <v>13.54</v>
      </c>
      <c r="H187" s="7"/>
    </row>
    <row r="188" ht="15.3" hidden="1" spans="1:8">
      <c r="A188" s="7" t="s">
        <v>27</v>
      </c>
      <c r="B188" s="8">
        <v>45938</v>
      </c>
      <c r="C188" s="10">
        <v>19</v>
      </c>
      <c r="D188" s="7">
        <v>17.3</v>
      </c>
      <c r="E188" s="7" t="s">
        <v>16</v>
      </c>
      <c r="F188" s="7">
        <v>0.3</v>
      </c>
      <c r="G188" s="7">
        <v>14.09</v>
      </c>
      <c r="H188" s="7"/>
    </row>
    <row r="189" ht="15.3" spans="1:8">
      <c r="A189" s="7" t="s">
        <v>27</v>
      </c>
      <c r="B189" s="8">
        <v>45938</v>
      </c>
      <c r="C189" s="10">
        <v>20</v>
      </c>
      <c r="D189" s="7">
        <v>17.45</v>
      </c>
      <c r="E189" s="7" t="s">
        <v>17</v>
      </c>
      <c r="F189" s="7">
        <v>0.4</v>
      </c>
      <c r="G189" s="7">
        <v>14.3</v>
      </c>
      <c r="H189" s="7"/>
    </row>
    <row r="190" ht="15.3" hidden="1" spans="1:8">
      <c r="A190" s="7" t="s">
        <v>27</v>
      </c>
      <c r="B190" s="8">
        <v>45938</v>
      </c>
      <c r="C190" s="10">
        <v>21</v>
      </c>
      <c r="D190" s="7">
        <v>17.2</v>
      </c>
      <c r="E190" s="7" t="s">
        <v>17</v>
      </c>
      <c r="F190" s="7">
        <v>0.6</v>
      </c>
      <c r="G190" s="7">
        <v>13.97</v>
      </c>
      <c r="H190" s="7"/>
    </row>
    <row r="191" ht="15.3" spans="1:8">
      <c r="A191" s="7" t="s">
        <v>27</v>
      </c>
      <c r="B191" s="8">
        <v>45938</v>
      </c>
      <c r="C191" s="10">
        <v>22</v>
      </c>
      <c r="D191" s="7">
        <v>17.25</v>
      </c>
      <c r="E191" s="7" t="s">
        <v>17</v>
      </c>
      <c r="F191" s="7">
        <v>1.2</v>
      </c>
      <c r="G191" s="7">
        <v>15.3</v>
      </c>
      <c r="H191" s="7"/>
    </row>
    <row r="192" ht="15.3" hidden="1" spans="1:8">
      <c r="A192" s="7" t="s">
        <v>27</v>
      </c>
      <c r="B192" s="8">
        <v>45938</v>
      </c>
      <c r="C192" s="10">
        <v>23</v>
      </c>
      <c r="D192" s="7">
        <v>16.95</v>
      </c>
      <c r="E192" s="7" t="s">
        <v>17</v>
      </c>
      <c r="F192" s="7">
        <v>1.2</v>
      </c>
      <c r="G192" s="7">
        <v>14.87</v>
      </c>
      <c r="H192" s="7"/>
    </row>
    <row r="193" ht="15.3" spans="1:8">
      <c r="A193" s="7" t="s">
        <v>27</v>
      </c>
      <c r="B193" s="8">
        <v>45938</v>
      </c>
      <c r="C193" s="10">
        <v>24</v>
      </c>
      <c r="D193" s="7">
        <v>16.7</v>
      </c>
      <c r="E193" s="7" t="s">
        <v>20</v>
      </c>
      <c r="F193" s="7">
        <v>1.4</v>
      </c>
      <c r="G193" s="7">
        <v>14.83</v>
      </c>
      <c r="H193" s="7"/>
    </row>
    <row r="194" ht="15.3" hidden="1" spans="1:8">
      <c r="A194" s="7" t="s">
        <v>27</v>
      </c>
      <c r="B194" s="8">
        <v>45939</v>
      </c>
      <c r="C194" s="10">
        <v>1</v>
      </c>
      <c r="D194" s="7">
        <v>16.65</v>
      </c>
      <c r="E194" s="7" t="s">
        <v>17</v>
      </c>
      <c r="F194" s="7">
        <v>1.2</v>
      </c>
      <c r="G194" s="7">
        <v>14.98</v>
      </c>
      <c r="H194" s="7"/>
    </row>
    <row r="195" ht="15.3" spans="1:8">
      <c r="A195" s="7" t="s">
        <v>27</v>
      </c>
      <c r="B195" s="8">
        <v>45939</v>
      </c>
      <c r="C195" s="10">
        <v>2</v>
      </c>
      <c r="D195" s="7">
        <v>16.75</v>
      </c>
      <c r="E195" s="7" t="s">
        <v>17</v>
      </c>
      <c r="F195" s="7">
        <v>1.1</v>
      </c>
      <c r="G195" s="7">
        <v>14.55</v>
      </c>
      <c r="H195" s="7"/>
    </row>
    <row r="196" ht="15.3" hidden="1" spans="1:8">
      <c r="A196" s="7" t="s">
        <v>27</v>
      </c>
      <c r="B196" s="8">
        <v>45939</v>
      </c>
      <c r="C196" s="10">
        <v>3</v>
      </c>
      <c r="D196" s="7">
        <v>17.1</v>
      </c>
      <c r="E196" s="7" t="s">
        <v>17</v>
      </c>
      <c r="F196" s="7">
        <v>1</v>
      </c>
      <c r="G196" s="7">
        <v>13.51</v>
      </c>
      <c r="H196" s="7"/>
    </row>
    <row r="197" ht="15.3" spans="1:8">
      <c r="A197" s="7" t="s">
        <v>27</v>
      </c>
      <c r="B197" s="8">
        <v>45939</v>
      </c>
      <c r="C197" s="10">
        <v>4</v>
      </c>
      <c r="D197" s="7">
        <v>16.85</v>
      </c>
      <c r="E197" s="7" t="s">
        <v>17</v>
      </c>
      <c r="F197" s="7">
        <v>0.7</v>
      </c>
      <c r="G197" s="7">
        <v>13.57</v>
      </c>
      <c r="H197" s="7"/>
    </row>
    <row r="198" ht="15.3" hidden="1" spans="1:8">
      <c r="A198" s="7" t="s">
        <v>27</v>
      </c>
      <c r="B198" s="8">
        <v>45939</v>
      </c>
      <c r="C198" s="10">
        <v>5</v>
      </c>
      <c r="D198" s="7">
        <v>17.2</v>
      </c>
      <c r="E198" s="7" t="s">
        <v>17</v>
      </c>
      <c r="F198" s="7">
        <v>1</v>
      </c>
      <c r="G198" s="7">
        <v>13.24</v>
      </c>
      <c r="H198" s="7"/>
    </row>
    <row r="199" ht="15.3" spans="1:8">
      <c r="A199" s="7" t="s">
        <v>27</v>
      </c>
      <c r="B199" s="8">
        <v>45939</v>
      </c>
      <c r="C199" s="10">
        <v>6</v>
      </c>
      <c r="D199" s="7">
        <v>17.3</v>
      </c>
      <c r="E199" s="7" t="s">
        <v>20</v>
      </c>
      <c r="F199" s="7">
        <v>2.2</v>
      </c>
      <c r="G199" s="7">
        <v>12.59</v>
      </c>
      <c r="H199" s="7"/>
    </row>
    <row r="200" ht="15.3" hidden="1" spans="1:8">
      <c r="A200" s="7" t="s">
        <v>27</v>
      </c>
      <c r="B200" s="8">
        <v>45939</v>
      </c>
      <c r="C200" s="10">
        <v>7</v>
      </c>
      <c r="D200" s="7">
        <v>16.95</v>
      </c>
      <c r="E200" s="7" t="s">
        <v>20</v>
      </c>
      <c r="F200" s="7">
        <v>2.2</v>
      </c>
      <c r="G200" s="7">
        <v>13.02</v>
      </c>
      <c r="H200" s="7"/>
    </row>
    <row r="201" ht="15.3" spans="1:8">
      <c r="A201" s="7" t="s">
        <v>27</v>
      </c>
      <c r="B201" s="8">
        <v>45939</v>
      </c>
      <c r="C201" s="10">
        <v>8</v>
      </c>
      <c r="D201" s="7">
        <v>17.2</v>
      </c>
      <c r="E201" s="7" t="s">
        <v>17</v>
      </c>
      <c r="F201" s="7">
        <v>1</v>
      </c>
      <c r="G201" s="7">
        <v>12.15</v>
      </c>
      <c r="H201" s="7"/>
    </row>
    <row r="202" ht="15.3" hidden="1" spans="1:8">
      <c r="A202" s="7" t="s">
        <v>27</v>
      </c>
      <c r="B202" s="8">
        <v>45939</v>
      </c>
      <c r="C202" s="10">
        <v>9</v>
      </c>
      <c r="D202" s="7">
        <v>16.85</v>
      </c>
      <c r="E202" s="7" t="s">
        <v>20</v>
      </c>
      <c r="F202" s="7">
        <v>1.3</v>
      </c>
      <c r="G202" s="7">
        <v>12.36</v>
      </c>
      <c r="H202" s="7"/>
    </row>
    <row r="203" ht="15.3" spans="1:8">
      <c r="A203" s="7" t="s">
        <v>27</v>
      </c>
      <c r="B203" s="8">
        <v>45939</v>
      </c>
      <c r="C203" s="10">
        <v>10</v>
      </c>
      <c r="D203" s="7">
        <v>16.1</v>
      </c>
      <c r="E203" s="7" t="s">
        <v>20</v>
      </c>
      <c r="F203" s="7">
        <v>1.8</v>
      </c>
      <c r="G203" s="7">
        <v>13.74</v>
      </c>
      <c r="H203" s="7"/>
    </row>
    <row r="204" ht="15.3" hidden="1" spans="1:8">
      <c r="A204" s="7" t="s">
        <v>27</v>
      </c>
      <c r="B204" s="8">
        <v>45939</v>
      </c>
      <c r="C204" s="10">
        <v>11</v>
      </c>
      <c r="D204" s="7">
        <v>15.85</v>
      </c>
      <c r="E204" s="7" t="s">
        <v>17</v>
      </c>
      <c r="F204" s="7">
        <v>1.1</v>
      </c>
      <c r="G204" s="7">
        <v>14.55</v>
      </c>
      <c r="H204" s="7"/>
    </row>
    <row r="205" ht="15.3" spans="1:8">
      <c r="A205" s="7" t="s">
        <v>27</v>
      </c>
      <c r="B205" s="8">
        <v>45939</v>
      </c>
      <c r="C205" s="10">
        <v>12</v>
      </c>
      <c r="D205" s="7">
        <v>16</v>
      </c>
      <c r="E205" s="7" t="s">
        <v>17</v>
      </c>
      <c r="F205" s="7">
        <v>0.5</v>
      </c>
      <c r="G205" s="7">
        <v>13.75</v>
      </c>
      <c r="H205" s="7"/>
    </row>
    <row r="206" ht="15.3" hidden="1" spans="1:8">
      <c r="A206" s="7" t="s">
        <v>27</v>
      </c>
      <c r="B206" s="8">
        <v>45939</v>
      </c>
      <c r="C206" s="10">
        <v>13</v>
      </c>
      <c r="D206" s="7">
        <v>16.5</v>
      </c>
      <c r="E206" s="7" t="s">
        <v>17</v>
      </c>
      <c r="F206" s="7">
        <v>0.4</v>
      </c>
      <c r="G206" s="7">
        <v>12.97</v>
      </c>
      <c r="H206" s="7"/>
    </row>
    <row r="207" ht="15.3" spans="1:8">
      <c r="A207" s="7" t="s">
        <v>27</v>
      </c>
      <c r="B207" s="8">
        <v>45939</v>
      </c>
      <c r="C207" s="10">
        <v>14</v>
      </c>
      <c r="D207" s="7">
        <v>16.5</v>
      </c>
      <c r="E207" s="7" t="s">
        <v>17</v>
      </c>
      <c r="F207" s="7">
        <v>0.7</v>
      </c>
      <c r="G207" s="7">
        <v>12.81</v>
      </c>
      <c r="H207" s="7"/>
    </row>
    <row r="208" ht="15.3" hidden="1" spans="1:8">
      <c r="A208" s="7" t="s">
        <v>27</v>
      </c>
      <c r="B208" s="8">
        <v>45939</v>
      </c>
      <c r="C208" s="10">
        <v>15</v>
      </c>
      <c r="D208" s="7">
        <v>16.1</v>
      </c>
      <c r="E208" s="7" t="s">
        <v>17</v>
      </c>
      <c r="F208" s="7">
        <v>1</v>
      </c>
      <c r="G208" s="7">
        <v>12.99</v>
      </c>
      <c r="H208" s="7"/>
    </row>
    <row r="209" ht="15.3" spans="1:8">
      <c r="A209" s="7" t="s">
        <v>27</v>
      </c>
      <c r="B209" s="8">
        <v>45939</v>
      </c>
      <c r="C209" s="10">
        <v>16</v>
      </c>
      <c r="D209" s="7">
        <v>15.95</v>
      </c>
      <c r="E209" s="7" t="s">
        <v>20</v>
      </c>
      <c r="F209" s="7">
        <v>2.1</v>
      </c>
      <c r="G209" s="7">
        <v>12.69</v>
      </c>
      <c r="H209" s="7"/>
    </row>
    <row r="210" ht="15.3" hidden="1" spans="1:8">
      <c r="A210" s="7" t="s">
        <v>27</v>
      </c>
      <c r="B210" s="8">
        <v>45939</v>
      </c>
      <c r="C210" s="10">
        <v>17</v>
      </c>
      <c r="D210" s="7">
        <v>15.6</v>
      </c>
      <c r="E210" s="7" t="s">
        <v>20</v>
      </c>
      <c r="F210" s="7">
        <v>1.3</v>
      </c>
      <c r="G210" s="7">
        <v>13.12</v>
      </c>
      <c r="H210" s="7"/>
    </row>
    <row r="211" ht="15.3" spans="1:8">
      <c r="A211" s="7" t="s">
        <v>27</v>
      </c>
      <c r="B211" s="8">
        <v>45939</v>
      </c>
      <c r="C211" s="10">
        <v>18</v>
      </c>
      <c r="D211" s="7">
        <v>15.4</v>
      </c>
      <c r="E211" s="7" t="s">
        <v>20</v>
      </c>
      <c r="F211" s="7">
        <v>2.1</v>
      </c>
      <c r="G211" s="7">
        <v>12.28</v>
      </c>
      <c r="H211" s="7"/>
    </row>
    <row r="212" ht="15.3" hidden="1" spans="1:8">
      <c r="A212" s="7" t="s">
        <v>27</v>
      </c>
      <c r="B212" s="8">
        <v>45939</v>
      </c>
      <c r="C212" s="10">
        <v>19</v>
      </c>
      <c r="D212" s="7">
        <v>15.05</v>
      </c>
      <c r="E212" s="7" t="s">
        <v>20</v>
      </c>
      <c r="F212" s="7">
        <v>2.3</v>
      </c>
      <c r="G212" s="7">
        <v>12.45</v>
      </c>
      <c r="H212" s="7"/>
    </row>
    <row r="213" ht="15.3" spans="1:8">
      <c r="A213" s="7" t="s">
        <v>27</v>
      </c>
      <c r="B213" s="8">
        <v>45939</v>
      </c>
      <c r="C213" s="10">
        <v>20</v>
      </c>
      <c r="D213" s="7">
        <v>15.05</v>
      </c>
      <c r="E213" s="7" t="s">
        <v>20</v>
      </c>
      <c r="F213" s="7">
        <v>1.7</v>
      </c>
      <c r="G213" s="7">
        <v>12.63</v>
      </c>
      <c r="H213" s="7"/>
    </row>
    <row r="214" ht="15.3" hidden="1" spans="1:8">
      <c r="A214" s="7" t="s">
        <v>27</v>
      </c>
      <c r="B214" s="8">
        <v>45939</v>
      </c>
      <c r="C214" s="10">
        <v>21</v>
      </c>
      <c r="D214" s="7">
        <v>15.45</v>
      </c>
      <c r="E214" s="7" t="s">
        <v>17</v>
      </c>
      <c r="F214" s="7">
        <v>1</v>
      </c>
      <c r="G214" s="7">
        <v>12.08</v>
      </c>
      <c r="H214" s="7"/>
    </row>
    <row r="215" ht="15.3" spans="1:8">
      <c r="A215" s="7" t="s">
        <v>27</v>
      </c>
      <c r="B215" s="8">
        <v>45939</v>
      </c>
      <c r="C215" s="10">
        <v>22</v>
      </c>
      <c r="D215" s="7">
        <v>15.95</v>
      </c>
      <c r="E215" s="7" t="s">
        <v>17</v>
      </c>
      <c r="F215" s="7">
        <v>1</v>
      </c>
      <c r="G215" s="7">
        <v>12.46</v>
      </c>
      <c r="H215" s="7"/>
    </row>
    <row r="216" ht="15.3" hidden="1" spans="1:8">
      <c r="A216" s="7" t="s">
        <v>27</v>
      </c>
      <c r="B216" s="8">
        <v>45939</v>
      </c>
      <c r="C216" s="10">
        <v>23</v>
      </c>
      <c r="D216" s="7">
        <v>15.8</v>
      </c>
      <c r="E216" s="7" t="s">
        <v>20</v>
      </c>
      <c r="F216" s="7">
        <v>2.1</v>
      </c>
      <c r="G216" s="7">
        <v>11.81</v>
      </c>
      <c r="H216" s="7"/>
    </row>
    <row r="217" ht="15.3" spans="1:8">
      <c r="A217" s="7" t="s">
        <v>27</v>
      </c>
      <c r="B217" s="8">
        <v>45939</v>
      </c>
      <c r="C217" s="10">
        <v>24</v>
      </c>
      <c r="D217" s="7">
        <v>15.95</v>
      </c>
      <c r="E217" s="7" t="s">
        <v>17</v>
      </c>
      <c r="F217" s="7">
        <v>1</v>
      </c>
      <c r="G217" s="7">
        <v>11.29</v>
      </c>
      <c r="H217" s="7"/>
    </row>
    <row r="218" ht="15.3" hidden="1" spans="1:8">
      <c r="A218" s="7" t="s">
        <v>27</v>
      </c>
      <c r="B218" s="8">
        <v>45940</v>
      </c>
      <c r="C218" s="10">
        <v>1</v>
      </c>
      <c r="D218" s="7">
        <v>16.25</v>
      </c>
      <c r="E218" s="7" t="s">
        <v>17</v>
      </c>
      <c r="F218" s="7">
        <v>1.1</v>
      </c>
      <c r="G218" s="7">
        <v>11.07</v>
      </c>
      <c r="H218" s="7"/>
    </row>
    <row r="219" ht="15.3" spans="1:8">
      <c r="A219" s="7" t="s">
        <v>27</v>
      </c>
      <c r="B219" s="8">
        <v>45940</v>
      </c>
      <c r="C219" s="10">
        <v>2</v>
      </c>
      <c r="D219" s="7">
        <v>16.15</v>
      </c>
      <c r="E219" s="7" t="s">
        <v>20</v>
      </c>
      <c r="F219" s="7">
        <v>1.5</v>
      </c>
      <c r="G219" s="7">
        <v>11.51</v>
      </c>
      <c r="H219" s="7"/>
    </row>
    <row r="220" ht="15.3" hidden="1" spans="1:8">
      <c r="A220" s="7" t="s">
        <v>27</v>
      </c>
      <c r="B220" s="8">
        <v>45940</v>
      </c>
      <c r="C220" s="10">
        <v>3</v>
      </c>
      <c r="D220" s="7">
        <v>15.85</v>
      </c>
      <c r="E220" s="7" t="s">
        <v>20</v>
      </c>
      <c r="F220" s="7">
        <v>1.4</v>
      </c>
      <c r="G220" s="7">
        <v>11.86</v>
      </c>
      <c r="H220" s="7"/>
    </row>
    <row r="221" ht="15.3" spans="1:8">
      <c r="A221" s="7" t="s">
        <v>27</v>
      </c>
      <c r="B221" s="8">
        <v>45940</v>
      </c>
      <c r="C221" s="10">
        <v>4</v>
      </c>
      <c r="D221" s="7">
        <v>14.8</v>
      </c>
      <c r="E221" s="7" t="s">
        <v>17</v>
      </c>
      <c r="F221" s="7">
        <v>1.1</v>
      </c>
      <c r="G221" s="7">
        <v>12.21</v>
      </c>
      <c r="H221" s="7"/>
    </row>
    <row r="222" ht="15.3" hidden="1" spans="1:8">
      <c r="A222" s="7" t="s">
        <v>27</v>
      </c>
      <c r="B222" s="8">
        <v>45940</v>
      </c>
      <c r="C222" s="10">
        <v>5</v>
      </c>
      <c r="D222" s="7">
        <v>13.9</v>
      </c>
      <c r="E222" s="7" t="s">
        <v>16</v>
      </c>
      <c r="F222" s="7">
        <v>0.2</v>
      </c>
      <c r="G222" s="7">
        <v>11.73</v>
      </c>
      <c r="H222" s="7"/>
    </row>
    <row r="223" ht="15.3" spans="1:8">
      <c r="A223" s="7" t="s">
        <v>27</v>
      </c>
      <c r="B223" s="8">
        <v>45940</v>
      </c>
      <c r="C223" s="10">
        <v>6</v>
      </c>
      <c r="D223" s="7">
        <v>14.2</v>
      </c>
      <c r="E223" s="7" t="s">
        <v>17</v>
      </c>
      <c r="F223" s="7">
        <v>0.5</v>
      </c>
      <c r="G223" s="7">
        <v>11.27</v>
      </c>
      <c r="H223" s="7"/>
    </row>
    <row r="224" ht="15.3" hidden="1" spans="1:8">
      <c r="A224" s="7" t="s">
        <v>27</v>
      </c>
      <c r="B224" s="8">
        <v>45940</v>
      </c>
      <c r="C224" s="10">
        <v>7</v>
      </c>
      <c r="D224" s="7">
        <v>14.75</v>
      </c>
      <c r="E224" s="7" t="s">
        <v>17</v>
      </c>
      <c r="F224" s="7">
        <v>0.8</v>
      </c>
      <c r="G224" s="7">
        <v>11.21</v>
      </c>
      <c r="H224" s="7"/>
    </row>
    <row r="225" ht="15.3" spans="1:8">
      <c r="A225" s="7" t="s">
        <v>27</v>
      </c>
      <c r="B225" s="8">
        <v>45940</v>
      </c>
      <c r="C225" s="10">
        <v>8</v>
      </c>
      <c r="D225" s="7">
        <v>15</v>
      </c>
      <c r="E225" s="7" t="s">
        <v>17</v>
      </c>
      <c r="F225" s="7">
        <v>0.7</v>
      </c>
      <c r="G225" s="7">
        <v>11.29</v>
      </c>
      <c r="H225" s="7"/>
    </row>
    <row r="226" ht="15.3" hidden="1" spans="1:8">
      <c r="A226" s="7" t="s">
        <v>27</v>
      </c>
      <c r="B226" s="8">
        <v>45940</v>
      </c>
      <c r="C226" s="10">
        <v>9</v>
      </c>
      <c r="D226" s="7">
        <v>15</v>
      </c>
      <c r="E226" s="7" t="s">
        <v>18</v>
      </c>
      <c r="F226" s="7">
        <v>0.3</v>
      </c>
      <c r="G226" s="7">
        <v>11.08</v>
      </c>
      <c r="H226" s="7"/>
    </row>
    <row r="227" ht="15.3" spans="1:8">
      <c r="A227" s="7" t="s">
        <v>27</v>
      </c>
      <c r="B227" s="8">
        <v>45940</v>
      </c>
      <c r="C227" s="10">
        <v>10</v>
      </c>
      <c r="D227" s="7">
        <v>14.95</v>
      </c>
      <c r="E227" s="7" t="s">
        <v>18</v>
      </c>
      <c r="F227" s="7">
        <v>0.3</v>
      </c>
      <c r="G227" s="7">
        <v>10.76</v>
      </c>
      <c r="H227" s="7"/>
    </row>
    <row r="228" ht="15.3" hidden="1" spans="1:8">
      <c r="A228" s="7" t="s">
        <v>27</v>
      </c>
      <c r="B228" s="8">
        <v>45940</v>
      </c>
      <c r="C228" s="10">
        <v>11</v>
      </c>
      <c r="D228" s="7">
        <v>15</v>
      </c>
      <c r="E228" s="7" t="s">
        <v>19</v>
      </c>
      <c r="F228" s="7">
        <v>0</v>
      </c>
      <c r="G228" s="7">
        <v>11.48</v>
      </c>
      <c r="H228" s="7"/>
    </row>
    <row r="229" ht="15.3" spans="1:8">
      <c r="A229" s="7" t="s">
        <v>27</v>
      </c>
      <c r="B229" s="8">
        <v>45940</v>
      </c>
      <c r="C229" s="10">
        <v>12</v>
      </c>
      <c r="D229" s="7">
        <v>15.35</v>
      </c>
      <c r="E229" s="7" t="s">
        <v>16</v>
      </c>
      <c r="F229" s="7">
        <v>0</v>
      </c>
      <c r="G229" s="7">
        <v>9.93</v>
      </c>
      <c r="H229" s="7"/>
    </row>
    <row r="230" ht="15.3" hidden="1" spans="1:8">
      <c r="A230" s="7" t="s">
        <v>27</v>
      </c>
      <c r="B230" s="8">
        <v>45940</v>
      </c>
      <c r="C230" s="10">
        <v>13</v>
      </c>
      <c r="D230" s="7">
        <v>15.4</v>
      </c>
      <c r="E230" s="7" t="s">
        <v>16</v>
      </c>
      <c r="F230" s="7">
        <v>0</v>
      </c>
      <c r="G230" s="7">
        <v>9.3</v>
      </c>
      <c r="H230" s="7"/>
    </row>
    <row r="231" ht="15.3" spans="1:8">
      <c r="A231" s="7" t="s">
        <v>27</v>
      </c>
      <c r="B231" s="8">
        <v>45940</v>
      </c>
      <c r="C231" s="10">
        <v>14</v>
      </c>
      <c r="D231" s="7">
        <v>15.2</v>
      </c>
      <c r="E231" s="7" t="s">
        <v>17</v>
      </c>
      <c r="F231" s="7">
        <v>0.4</v>
      </c>
      <c r="G231" s="7">
        <v>9.37</v>
      </c>
      <c r="H231" s="7"/>
    </row>
    <row r="232" ht="15.3" hidden="1" spans="1:8">
      <c r="A232" s="7" t="s">
        <v>27</v>
      </c>
      <c r="B232" s="8">
        <v>45940</v>
      </c>
      <c r="C232" s="10">
        <v>15</v>
      </c>
      <c r="D232" s="7">
        <v>15.75</v>
      </c>
      <c r="E232" s="7" t="s">
        <v>18</v>
      </c>
      <c r="F232" s="7">
        <v>0.2</v>
      </c>
      <c r="G232" s="7">
        <v>9.23</v>
      </c>
      <c r="H232" s="7"/>
    </row>
    <row r="233" ht="15.3" spans="1:8">
      <c r="A233" s="7" t="s">
        <v>27</v>
      </c>
      <c r="B233" s="8">
        <v>45940</v>
      </c>
      <c r="C233" s="10">
        <v>16</v>
      </c>
      <c r="D233" s="7">
        <v>15.75</v>
      </c>
      <c r="E233" s="7" t="s">
        <v>19</v>
      </c>
      <c r="F233" s="7">
        <v>0.1</v>
      </c>
      <c r="G233" s="7">
        <v>8.55</v>
      </c>
      <c r="H233" s="7"/>
    </row>
    <row r="234" ht="15.3" hidden="1" spans="1:8">
      <c r="A234" s="7" t="s">
        <v>27</v>
      </c>
      <c r="B234" s="8">
        <v>45940</v>
      </c>
      <c r="C234" s="10">
        <v>17</v>
      </c>
      <c r="D234" s="7">
        <v>15.9</v>
      </c>
      <c r="E234" s="7" t="s">
        <v>16</v>
      </c>
      <c r="F234" s="7">
        <v>0.1</v>
      </c>
      <c r="G234" s="7">
        <v>8.84</v>
      </c>
      <c r="H234" s="7"/>
    </row>
    <row r="235" ht="15.3" spans="1:8">
      <c r="A235" s="7" t="s">
        <v>27</v>
      </c>
      <c r="B235" s="8">
        <v>45940</v>
      </c>
      <c r="C235" s="10">
        <v>18</v>
      </c>
      <c r="D235" s="7">
        <v>15.6</v>
      </c>
      <c r="E235" s="7" t="s">
        <v>17</v>
      </c>
      <c r="F235" s="7">
        <v>1</v>
      </c>
      <c r="G235" s="7">
        <v>8.53</v>
      </c>
      <c r="H235" s="7"/>
    </row>
    <row r="236" ht="15.3" hidden="1" spans="1:8">
      <c r="A236" s="7" t="s">
        <v>27</v>
      </c>
      <c r="B236" s="8">
        <v>45940</v>
      </c>
      <c r="C236" s="10">
        <v>19</v>
      </c>
      <c r="D236" s="7">
        <v>14.8</v>
      </c>
      <c r="E236" s="7" t="s">
        <v>17</v>
      </c>
      <c r="F236" s="7">
        <v>0.7</v>
      </c>
      <c r="G236" s="7">
        <v>9.22</v>
      </c>
      <c r="H236" s="7"/>
    </row>
    <row r="237" ht="15.3" spans="1:8">
      <c r="A237" s="7" t="s">
        <v>27</v>
      </c>
      <c r="B237" s="8">
        <v>45940</v>
      </c>
      <c r="C237" s="10">
        <v>20</v>
      </c>
      <c r="D237" s="7">
        <v>14.8</v>
      </c>
      <c r="E237" s="7" t="s">
        <v>16</v>
      </c>
      <c r="F237" s="7">
        <v>0</v>
      </c>
      <c r="G237" s="7">
        <v>8.23</v>
      </c>
      <c r="H237" s="7"/>
    </row>
    <row r="238" ht="15.3" hidden="1" spans="1:8">
      <c r="A238" s="7" t="s">
        <v>27</v>
      </c>
      <c r="B238" s="8">
        <v>45940</v>
      </c>
      <c r="C238" s="10">
        <v>21</v>
      </c>
      <c r="D238" s="7">
        <v>14</v>
      </c>
      <c r="E238" s="7" t="s">
        <v>16</v>
      </c>
      <c r="F238" s="7">
        <v>0.2</v>
      </c>
      <c r="G238" s="7">
        <v>8.48</v>
      </c>
      <c r="H238" s="7"/>
    </row>
    <row r="239" ht="15.3" spans="1:8">
      <c r="A239" s="7" t="s">
        <v>27</v>
      </c>
      <c r="B239" s="8">
        <v>45940</v>
      </c>
      <c r="C239" s="10">
        <v>22</v>
      </c>
      <c r="D239" s="7">
        <v>13.85</v>
      </c>
      <c r="E239" s="7" t="s">
        <v>16</v>
      </c>
      <c r="F239" s="7">
        <v>0.2</v>
      </c>
      <c r="G239" s="7">
        <v>8.13</v>
      </c>
      <c r="H239" s="7"/>
    </row>
    <row r="240" ht="15.3" hidden="1" spans="1:8">
      <c r="A240" s="7" t="s">
        <v>27</v>
      </c>
      <c r="B240" s="8">
        <v>45940</v>
      </c>
      <c r="C240" s="10">
        <v>23</v>
      </c>
      <c r="D240" s="7">
        <v>13.6</v>
      </c>
      <c r="E240" s="7" t="s">
        <v>17</v>
      </c>
      <c r="F240" s="7">
        <v>0.5</v>
      </c>
      <c r="G240" s="7">
        <v>7.5</v>
      </c>
      <c r="H240" s="7"/>
    </row>
    <row r="241" ht="15.3" spans="1:8">
      <c r="A241" s="7" t="s">
        <v>27</v>
      </c>
      <c r="B241" s="8">
        <v>45940</v>
      </c>
      <c r="C241" s="10">
        <v>24</v>
      </c>
      <c r="D241" s="7">
        <v>13.5</v>
      </c>
      <c r="E241" s="7" t="s">
        <v>17</v>
      </c>
      <c r="F241" s="7">
        <v>0.7</v>
      </c>
      <c r="G241" s="7">
        <v>7.58</v>
      </c>
      <c r="H241" s="7"/>
    </row>
    <row r="242" ht="15.3" hidden="1" spans="1:8">
      <c r="A242" s="7" t="s">
        <v>27</v>
      </c>
      <c r="B242" s="8">
        <v>45941</v>
      </c>
      <c r="C242" s="10">
        <v>1</v>
      </c>
      <c r="D242" s="7">
        <v>13.35</v>
      </c>
      <c r="E242" s="7" t="s">
        <v>17</v>
      </c>
      <c r="F242" s="7">
        <v>0.9</v>
      </c>
      <c r="G242" s="7">
        <v>7.72</v>
      </c>
      <c r="H242" s="7"/>
    </row>
    <row r="243" ht="15.3" spans="1:8">
      <c r="A243" s="7" t="s">
        <v>27</v>
      </c>
      <c r="B243" s="8">
        <v>45941</v>
      </c>
      <c r="C243" s="10">
        <v>2</v>
      </c>
      <c r="D243" s="7">
        <v>13.25</v>
      </c>
      <c r="E243" s="7" t="s">
        <v>17</v>
      </c>
      <c r="F243" s="7">
        <v>0.6</v>
      </c>
      <c r="G243" s="7">
        <v>8.1</v>
      </c>
      <c r="H243" s="7"/>
    </row>
    <row r="244" ht="15.3" hidden="1" spans="1:8">
      <c r="A244" s="7" t="s">
        <v>27</v>
      </c>
      <c r="B244" s="8">
        <v>45941</v>
      </c>
      <c r="C244" s="10">
        <v>3</v>
      </c>
      <c r="D244" s="7">
        <v>13</v>
      </c>
      <c r="E244" s="7" t="s">
        <v>18</v>
      </c>
      <c r="F244" s="7">
        <v>0.1</v>
      </c>
      <c r="G244" s="7">
        <v>8.52</v>
      </c>
      <c r="H244" s="7"/>
    </row>
    <row r="245" ht="15.3" spans="1:8">
      <c r="A245" s="7" t="s">
        <v>27</v>
      </c>
      <c r="B245" s="8">
        <v>45941</v>
      </c>
      <c r="C245" s="10">
        <v>4</v>
      </c>
      <c r="D245" s="7">
        <v>13</v>
      </c>
      <c r="E245" s="7" t="s">
        <v>17</v>
      </c>
      <c r="F245" s="7">
        <v>0.6</v>
      </c>
      <c r="G245" s="7">
        <v>6.95</v>
      </c>
      <c r="H245" s="7"/>
    </row>
    <row r="246" ht="15.3" hidden="1" spans="1:8">
      <c r="A246" s="7" t="s">
        <v>27</v>
      </c>
      <c r="B246" s="8">
        <v>45941</v>
      </c>
      <c r="C246" s="10">
        <v>5</v>
      </c>
      <c r="D246" s="7">
        <v>12.85</v>
      </c>
      <c r="E246" s="7" t="s">
        <v>17</v>
      </c>
      <c r="F246" s="7">
        <v>0.9</v>
      </c>
      <c r="G246" s="7">
        <v>6.97</v>
      </c>
      <c r="H246" s="7"/>
    </row>
    <row r="247" ht="15.3" spans="1:8">
      <c r="A247" s="7" t="s">
        <v>27</v>
      </c>
      <c r="B247" s="8">
        <v>45941</v>
      </c>
      <c r="C247" s="10">
        <v>6</v>
      </c>
      <c r="D247" s="7">
        <v>13.15</v>
      </c>
      <c r="E247" s="7" t="s">
        <v>17</v>
      </c>
      <c r="F247" s="7">
        <v>0.6</v>
      </c>
      <c r="G247" s="7">
        <v>5.83</v>
      </c>
      <c r="H247" s="7"/>
    </row>
    <row r="248" ht="15.3" hidden="1" spans="1:8">
      <c r="A248" s="7" t="s">
        <v>27</v>
      </c>
      <c r="B248" s="8">
        <v>45941</v>
      </c>
      <c r="C248" s="10">
        <v>7</v>
      </c>
      <c r="D248" s="7">
        <v>13.4</v>
      </c>
      <c r="E248" s="7" t="s">
        <v>16</v>
      </c>
      <c r="F248" s="7">
        <v>0.2</v>
      </c>
      <c r="G248" s="7">
        <v>4.55</v>
      </c>
      <c r="H248" s="7"/>
    </row>
    <row r="249" ht="15.3" spans="1:8">
      <c r="A249" s="7" t="s">
        <v>27</v>
      </c>
      <c r="B249" s="8">
        <v>45941</v>
      </c>
      <c r="C249" s="10">
        <v>8</v>
      </c>
      <c r="D249" s="7">
        <v>13.2</v>
      </c>
      <c r="E249" s="7" t="s">
        <v>16</v>
      </c>
      <c r="F249" s="7">
        <v>0.1</v>
      </c>
      <c r="G249" s="7">
        <v>5.21</v>
      </c>
      <c r="H249" s="7"/>
    </row>
    <row r="250" ht="15.3" hidden="1" spans="1:8">
      <c r="A250" s="7" t="s">
        <v>27</v>
      </c>
      <c r="B250" s="8">
        <v>45941</v>
      </c>
      <c r="C250" s="10">
        <v>9</v>
      </c>
      <c r="D250" s="7">
        <v>13.05</v>
      </c>
      <c r="E250" s="7" t="s">
        <v>16</v>
      </c>
      <c r="F250" s="7">
        <v>0.2</v>
      </c>
      <c r="G250" s="7">
        <v>5.06</v>
      </c>
      <c r="H250" s="7"/>
    </row>
    <row r="251" ht="15.3" spans="1:8">
      <c r="A251" s="7" t="s">
        <v>27</v>
      </c>
      <c r="B251" s="8">
        <v>45941</v>
      </c>
      <c r="C251" s="10">
        <v>10</v>
      </c>
      <c r="D251" s="7">
        <v>13.35</v>
      </c>
      <c r="E251" s="7" t="s">
        <v>16</v>
      </c>
      <c r="F251" s="7">
        <v>0</v>
      </c>
      <c r="G251" s="7">
        <v>4.16</v>
      </c>
      <c r="H251" s="7"/>
    </row>
    <row r="252" ht="15.3" hidden="1" spans="1:8">
      <c r="A252" s="7" t="s">
        <v>27</v>
      </c>
      <c r="B252" s="8">
        <v>45941</v>
      </c>
      <c r="C252" s="10">
        <v>11</v>
      </c>
      <c r="D252" s="7">
        <v>13.85</v>
      </c>
      <c r="E252" s="7" t="s">
        <v>16</v>
      </c>
      <c r="F252" s="7">
        <v>0</v>
      </c>
      <c r="G252" s="7">
        <v>3.11</v>
      </c>
      <c r="H252" s="7"/>
    </row>
    <row r="253" ht="15.3" spans="1:8">
      <c r="A253" s="7" t="s">
        <v>27</v>
      </c>
      <c r="B253" s="8">
        <v>45941</v>
      </c>
      <c r="C253" s="10">
        <v>12</v>
      </c>
      <c r="D253" s="7">
        <v>14.3</v>
      </c>
      <c r="E253" s="7" t="s">
        <v>16</v>
      </c>
      <c r="F253" s="7">
        <v>0</v>
      </c>
      <c r="G253" s="7">
        <v>4.11</v>
      </c>
      <c r="H253" s="7"/>
    </row>
    <row r="254" ht="15.3" hidden="1" spans="1:8">
      <c r="A254" s="7" t="s">
        <v>27</v>
      </c>
      <c r="B254" s="8">
        <v>45941</v>
      </c>
      <c r="C254" s="10">
        <v>13</v>
      </c>
      <c r="D254" s="7">
        <v>14.45</v>
      </c>
      <c r="E254" s="7" t="s">
        <v>16</v>
      </c>
      <c r="F254" s="7">
        <v>0</v>
      </c>
      <c r="G254" s="7">
        <v>3.49</v>
      </c>
      <c r="H254" s="7"/>
    </row>
    <row r="255" ht="15.3" spans="1:8">
      <c r="A255" s="7" t="s">
        <v>27</v>
      </c>
      <c r="B255" s="8">
        <v>45941</v>
      </c>
      <c r="C255" s="10">
        <v>14</v>
      </c>
      <c r="D255" s="7">
        <v>15.1</v>
      </c>
      <c r="E255" s="7" t="s">
        <v>16</v>
      </c>
      <c r="F255" s="7">
        <v>0</v>
      </c>
      <c r="G255" s="7">
        <v>4.37</v>
      </c>
      <c r="H255" s="7"/>
    </row>
    <row r="256" ht="15.3" hidden="1" spans="1:8">
      <c r="A256" s="7" t="s">
        <v>27</v>
      </c>
      <c r="B256" s="8">
        <v>45941</v>
      </c>
      <c r="C256" s="10">
        <v>15</v>
      </c>
      <c r="D256" s="7">
        <v>15.4</v>
      </c>
      <c r="E256" s="7" t="s">
        <v>16</v>
      </c>
      <c r="F256" s="7">
        <v>0</v>
      </c>
      <c r="G256" s="7">
        <v>3.26</v>
      </c>
      <c r="H256" s="7"/>
    </row>
    <row r="257" ht="15.3" spans="1:8">
      <c r="A257" s="7" t="s">
        <v>27</v>
      </c>
      <c r="B257" s="8">
        <v>45941</v>
      </c>
      <c r="C257" s="10">
        <v>16</v>
      </c>
      <c r="D257" s="7">
        <v>16.1</v>
      </c>
      <c r="E257" s="7" t="s">
        <v>16</v>
      </c>
      <c r="F257" s="7">
        <v>0</v>
      </c>
      <c r="G257" s="7">
        <v>3.48</v>
      </c>
      <c r="H257" s="7"/>
    </row>
    <row r="258" ht="15.3" hidden="1" spans="1:8">
      <c r="A258" s="7" t="s">
        <v>27</v>
      </c>
      <c r="B258" s="8">
        <v>45941</v>
      </c>
      <c r="C258" s="10">
        <v>17</v>
      </c>
      <c r="D258" s="7">
        <v>16.6</v>
      </c>
      <c r="E258" s="7" t="s">
        <v>16</v>
      </c>
      <c r="F258" s="7">
        <v>0</v>
      </c>
      <c r="G258" s="7">
        <v>2.52</v>
      </c>
      <c r="H258" s="7"/>
    </row>
    <row r="259" ht="15.3" spans="1:8">
      <c r="A259" s="7" t="s">
        <v>27</v>
      </c>
      <c r="B259" s="8">
        <v>45941</v>
      </c>
      <c r="C259" s="10">
        <v>18</v>
      </c>
      <c r="D259" s="7">
        <v>16.9</v>
      </c>
      <c r="E259" s="7" t="s">
        <v>16</v>
      </c>
      <c r="F259" s="7">
        <v>0</v>
      </c>
      <c r="G259" s="7">
        <v>3.06</v>
      </c>
      <c r="H259" s="7"/>
    </row>
    <row r="260" ht="15.3" hidden="1" spans="1:8">
      <c r="A260" s="7" t="s">
        <v>27</v>
      </c>
      <c r="B260" s="8">
        <v>45941</v>
      </c>
      <c r="C260" s="10">
        <v>19</v>
      </c>
      <c r="D260" s="7">
        <v>17.1</v>
      </c>
      <c r="E260" s="7" t="s">
        <v>16</v>
      </c>
      <c r="F260" s="7">
        <v>0</v>
      </c>
      <c r="G260" s="7">
        <v>3.77</v>
      </c>
      <c r="H260" s="7"/>
    </row>
    <row r="261" ht="15.3" spans="1:8">
      <c r="A261" s="7" t="s">
        <v>27</v>
      </c>
      <c r="B261" s="8">
        <v>45941</v>
      </c>
      <c r="C261" s="10">
        <v>20</v>
      </c>
      <c r="D261" s="7">
        <v>17.25</v>
      </c>
      <c r="E261" s="7" t="s">
        <v>16</v>
      </c>
      <c r="F261" s="7">
        <v>0</v>
      </c>
      <c r="G261" s="7">
        <v>3.32</v>
      </c>
      <c r="H261" s="7"/>
    </row>
    <row r="262" ht="15.3" hidden="1" spans="1:8">
      <c r="A262" s="7" t="s">
        <v>27</v>
      </c>
      <c r="B262" s="8">
        <v>45941</v>
      </c>
      <c r="C262" s="10">
        <v>21</v>
      </c>
      <c r="D262" s="7">
        <v>17.35</v>
      </c>
      <c r="E262" s="7" t="s">
        <v>16</v>
      </c>
      <c r="F262" s="7">
        <v>0</v>
      </c>
      <c r="G262" s="7">
        <v>3.92</v>
      </c>
      <c r="H262" s="7"/>
    </row>
    <row r="263" ht="15.3" spans="1:8">
      <c r="A263" s="7" t="s">
        <v>27</v>
      </c>
      <c r="B263" s="8">
        <v>45941</v>
      </c>
      <c r="C263" s="10">
        <v>22</v>
      </c>
      <c r="D263" s="7">
        <v>17.4</v>
      </c>
      <c r="E263" s="7" t="s">
        <v>16</v>
      </c>
      <c r="F263" s="7">
        <v>0</v>
      </c>
      <c r="G263" s="7">
        <v>3.96</v>
      </c>
      <c r="H263" s="7"/>
    </row>
    <row r="264" ht="15.3" hidden="1" spans="1:8">
      <c r="A264" s="7" t="s">
        <v>27</v>
      </c>
      <c r="B264" s="8">
        <v>45941</v>
      </c>
      <c r="C264" s="10">
        <v>23</v>
      </c>
      <c r="D264" s="7">
        <v>17.5</v>
      </c>
      <c r="E264" s="7" t="s">
        <v>16</v>
      </c>
      <c r="F264" s="7">
        <v>0</v>
      </c>
      <c r="G264" s="7">
        <v>3.77</v>
      </c>
      <c r="H264" s="7"/>
    </row>
    <row r="265" ht="15.3" spans="1:8">
      <c r="A265" s="7" t="s">
        <v>27</v>
      </c>
      <c r="B265" s="8">
        <v>45941</v>
      </c>
      <c r="C265" s="10">
        <v>24</v>
      </c>
      <c r="D265" s="7">
        <v>17.45</v>
      </c>
      <c r="E265" s="7" t="s">
        <v>16</v>
      </c>
      <c r="F265" s="7">
        <v>0</v>
      </c>
      <c r="G265" s="7">
        <v>5.04</v>
      </c>
      <c r="H265" s="7"/>
    </row>
    <row r="266" ht="15.3" hidden="1" spans="1:8">
      <c r="A266" s="7" t="s">
        <v>27</v>
      </c>
      <c r="B266" s="8">
        <v>45942</v>
      </c>
      <c r="C266" s="10">
        <v>1</v>
      </c>
      <c r="D266" s="7">
        <v>17.05</v>
      </c>
      <c r="E266" s="7" t="s">
        <v>16</v>
      </c>
      <c r="F266" s="7">
        <v>0</v>
      </c>
      <c r="G266" s="7">
        <v>5.7</v>
      </c>
      <c r="H266" s="7"/>
    </row>
    <row r="267" ht="15.3" spans="1:8">
      <c r="A267" s="7" t="s">
        <v>27</v>
      </c>
      <c r="B267" s="8">
        <v>45942</v>
      </c>
      <c r="C267" s="10">
        <v>2</v>
      </c>
      <c r="D267" s="7">
        <v>16.85</v>
      </c>
      <c r="E267" s="7" t="s">
        <v>16</v>
      </c>
      <c r="F267" s="7">
        <v>0</v>
      </c>
      <c r="G267" s="7">
        <v>5.25</v>
      </c>
      <c r="H267" s="7"/>
    </row>
    <row r="268" ht="15.3" hidden="1" spans="1:8">
      <c r="A268" s="7" t="s">
        <v>27</v>
      </c>
      <c r="B268" s="8">
        <v>45942</v>
      </c>
      <c r="C268" s="10">
        <v>3</v>
      </c>
      <c r="D268" s="7">
        <v>17</v>
      </c>
      <c r="E268" s="7" t="s">
        <v>16</v>
      </c>
      <c r="F268" s="7">
        <v>0</v>
      </c>
      <c r="G268" s="7">
        <v>5.39</v>
      </c>
      <c r="H268" s="7"/>
    </row>
    <row r="269" ht="15.3" spans="1:8">
      <c r="A269" s="7" t="s">
        <v>27</v>
      </c>
      <c r="B269" s="8">
        <v>45942</v>
      </c>
      <c r="C269" s="10">
        <v>4</v>
      </c>
      <c r="D269" s="7">
        <v>18</v>
      </c>
      <c r="E269" s="7" t="s">
        <v>16</v>
      </c>
      <c r="F269" s="7">
        <v>0</v>
      </c>
      <c r="G269" s="7">
        <v>7.01</v>
      </c>
      <c r="H269" s="7"/>
    </row>
    <row r="270" ht="15.3" hidden="1" spans="1:8">
      <c r="A270" s="7" t="s">
        <v>27</v>
      </c>
      <c r="B270" s="8">
        <v>45942</v>
      </c>
      <c r="C270" s="10">
        <v>5</v>
      </c>
      <c r="D270" s="7">
        <v>18.75</v>
      </c>
      <c r="E270" s="7" t="s">
        <v>16</v>
      </c>
      <c r="F270" s="7">
        <v>0</v>
      </c>
      <c r="G270" s="7">
        <v>12.59</v>
      </c>
      <c r="H270" s="7"/>
    </row>
    <row r="271" ht="15.3" spans="1:8">
      <c r="A271" s="7" t="s">
        <v>27</v>
      </c>
      <c r="B271" s="8">
        <v>45942</v>
      </c>
      <c r="C271" s="10">
        <v>6</v>
      </c>
      <c r="D271" s="7">
        <v>18.45</v>
      </c>
      <c r="E271" s="7" t="s">
        <v>16</v>
      </c>
      <c r="F271" s="7">
        <v>0</v>
      </c>
      <c r="G271" s="7">
        <v>12.04</v>
      </c>
      <c r="H271" s="7"/>
    </row>
    <row r="272" ht="15.3" hidden="1" spans="1:8">
      <c r="A272" s="7" t="s">
        <v>27</v>
      </c>
      <c r="B272" s="8">
        <v>45942</v>
      </c>
      <c r="C272" s="10">
        <v>7</v>
      </c>
      <c r="D272" s="7">
        <v>18.1</v>
      </c>
      <c r="E272" s="7" t="s">
        <v>16</v>
      </c>
      <c r="F272" s="7">
        <v>0</v>
      </c>
      <c r="G272" s="7">
        <v>12.33</v>
      </c>
      <c r="H272" s="7"/>
    </row>
    <row r="273" ht="15.3" spans="1:8">
      <c r="A273" s="7" t="s">
        <v>27</v>
      </c>
      <c r="B273" s="8">
        <v>45942</v>
      </c>
      <c r="C273" s="10">
        <v>8</v>
      </c>
      <c r="D273" s="7">
        <v>17.7</v>
      </c>
      <c r="E273" s="7" t="s">
        <v>16</v>
      </c>
      <c r="F273" s="7">
        <v>0</v>
      </c>
      <c r="G273" s="7">
        <v>12.24</v>
      </c>
      <c r="H273" s="7"/>
    </row>
    <row r="274" ht="15.3" hidden="1" spans="1:8">
      <c r="A274" s="7" t="s">
        <v>27</v>
      </c>
      <c r="B274" s="8">
        <v>45942</v>
      </c>
      <c r="C274" s="10">
        <v>9</v>
      </c>
      <c r="D274" s="7">
        <v>17.7</v>
      </c>
      <c r="E274" s="7" t="s">
        <v>16</v>
      </c>
      <c r="F274" s="7">
        <v>0</v>
      </c>
      <c r="G274" s="7">
        <v>11.61</v>
      </c>
      <c r="H274" s="7"/>
    </row>
    <row r="275" ht="15.3" spans="1:8">
      <c r="A275" s="7" t="s">
        <v>27</v>
      </c>
      <c r="B275" s="8">
        <v>45942</v>
      </c>
      <c r="C275" s="10">
        <v>10</v>
      </c>
      <c r="D275" s="7">
        <v>17.3</v>
      </c>
      <c r="E275" s="7" t="s">
        <v>16</v>
      </c>
      <c r="F275" s="7">
        <v>0</v>
      </c>
      <c r="G275" s="7">
        <v>12.23</v>
      </c>
      <c r="H275" s="7"/>
    </row>
    <row r="276" ht="15.3" hidden="1" spans="1:8">
      <c r="A276" s="7" t="s">
        <v>27</v>
      </c>
      <c r="B276" s="8">
        <v>45942</v>
      </c>
      <c r="C276" s="10">
        <v>11</v>
      </c>
      <c r="D276" s="7">
        <v>17.05</v>
      </c>
      <c r="E276" s="7" t="s">
        <v>16</v>
      </c>
      <c r="F276" s="7">
        <v>0</v>
      </c>
      <c r="G276" s="7">
        <v>12.61</v>
      </c>
      <c r="H276" s="7"/>
    </row>
    <row r="277" ht="15.3" spans="1:8">
      <c r="A277" s="7" t="s">
        <v>27</v>
      </c>
      <c r="B277" s="8">
        <v>45942</v>
      </c>
      <c r="C277" s="10">
        <v>12</v>
      </c>
      <c r="D277" s="7">
        <v>16.9</v>
      </c>
      <c r="E277" s="7" t="s">
        <v>16</v>
      </c>
      <c r="F277" s="7">
        <v>0</v>
      </c>
      <c r="G277" s="7">
        <v>11.87</v>
      </c>
      <c r="H277" s="7"/>
    </row>
    <row r="278" ht="15.3" hidden="1" spans="1:8">
      <c r="A278" s="7" t="s">
        <v>27</v>
      </c>
      <c r="B278" s="8">
        <v>45942</v>
      </c>
      <c r="C278" s="10">
        <v>13</v>
      </c>
      <c r="D278" s="7">
        <v>16.85</v>
      </c>
      <c r="E278" s="7" t="s">
        <v>16</v>
      </c>
      <c r="F278" s="7">
        <v>0</v>
      </c>
      <c r="G278" s="7">
        <v>10.71</v>
      </c>
      <c r="H278" s="7"/>
    </row>
    <row r="279" ht="15.3" spans="1:8">
      <c r="A279" s="7" t="s">
        <v>27</v>
      </c>
      <c r="B279" s="8">
        <v>45942</v>
      </c>
      <c r="C279" s="10">
        <v>14</v>
      </c>
      <c r="D279" s="7">
        <v>16.85</v>
      </c>
      <c r="E279" s="7" t="s">
        <v>16</v>
      </c>
      <c r="F279" s="7">
        <v>0</v>
      </c>
      <c r="G279" s="7">
        <v>9.86</v>
      </c>
      <c r="H279" s="7"/>
    </row>
    <row r="280" ht="15.3" hidden="1" spans="1:8">
      <c r="A280" s="7" t="s">
        <v>27</v>
      </c>
      <c r="B280" s="8">
        <v>45942</v>
      </c>
      <c r="C280" s="10">
        <v>15</v>
      </c>
      <c r="D280" s="7">
        <v>16.65</v>
      </c>
      <c r="E280" s="7" t="s">
        <v>16</v>
      </c>
      <c r="F280" s="7">
        <v>0</v>
      </c>
      <c r="G280" s="7">
        <v>9.34</v>
      </c>
      <c r="H280" s="7"/>
    </row>
    <row r="281" ht="15.3" spans="1:8">
      <c r="A281" s="7" t="s">
        <v>27</v>
      </c>
      <c r="B281" s="8">
        <v>45942</v>
      </c>
      <c r="C281" s="10">
        <v>16</v>
      </c>
      <c r="D281" s="7">
        <v>16.65</v>
      </c>
      <c r="E281" s="7" t="s">
        <v>16</v>
      </c>
      <c r="F281" s="7">
        <v>0.1</v>
      </c>
      <c r="G281" s="7">
        <v>9.51</v>
      </c>
      <c r="H281" s="7"/>
    </row>
    <row r="282" ht="15.3" hidden="1" spans="1:8">
      <c r="A282" s="7" t="s">
        <v>27</v>
      </c>
      <c r="B282" s="8">
        <v>45942</v>
      </c>
      <c r="C282" s="10">
        <v>17</v>
      </c>
      <c r="D282" s="7">
        <v>16.8</v>
      </c>
      <c r="E282" s="7" t="s">
        <v>16</v>
      </c>
      <c r="F282" s="7">
        <v>0.2</v>
      </c>
      <c r="G282" s="7">
        <v>9.08</v>
      </c>
      <c r="H282" s="7"/>
    </row>
    <row r="283" ht="15.3" spans="1:8">
      <c r="A283" s="7" t="s">
        <v>27</v>
      </c>
      <c r="B283" s="8">
        <v>45942</v>
      </c>
      <c r="C283" s="10">
        <v>18</v>
      </c>
      <c r="D283" s="7">
        <v>17.05</v>
      </c>
      <c r="E283" s="7" t="s">
        <v>16</v>
      </c>
      <c r="F283" s="7">
        <v>0.1</v>
      </c>
      <c r="G283" s="7">
        <v>8.14</v>
      </c>
      <c r="H283" s="7"/>
    </row>
    <row r="284" ht="15.3" hidden="1" spans="1:8">
      <c r="A284" s="7" t="s">
        <v>27</v>
      </c>
      <c r="B284" s="8">
        <v>45942</v>
      </c>
      <c r="C284" s="10">
        <v>19</v>
      </c>
      <c r="D284" s="7">
        <v>17.25</v>
      </c>
      <c r="E284" s="7" t="s">
        <v>16</v>
      </c>
      <c r="F284" s="7">
        <v>0</v>
      </c>
      <c r="G284" s="7">
        <v>7.04</v>
      </c>
      <c r="H284" s="7"/>
    </row>
    <row r="285" ht="15.3" spans="1:8">
      <c r="A285" s="7" t="s">
        <v>27</v>
      </c>
      <c r="B285" s="8">
        <v>45942</v>
      </c>
      <c r="C285" s="10">
        <v>20</v>
      </c>
      <c r="D285" s="7">
        <v>17.35</v>
      </c>
      <c r="E285" s="7" t="s">
        <v>16</v>
      </c>
      <c r="F285" s="7">
        <v>0</v>
      </c>
      <c r="G285" s="7">
        <v>6.64</v>
      </c>
      <c r="H285" s="7"/>
    </row>
    <row r="286" ht="15.3" hidden="1" spans="1:8">
      <c r="A286" s="7" t="s">
        <v>27</v>
      </c>
      <c r="B286" s="8">
        <v>45942</v>
      </c>
      <c r="C286" s="10">
        <v>21</v>
      </c>
      <c r="D286" s="7">
        <v>17</v>
      </c>
      <c r="E286" s="7" t="s">
        <v>16</v>
      </c>
      <c r="F286" s="7">
        <v>0</v>
      </c>
      <c r="G286" s="7">
        <v>4.76</v>
      </c>
      <c r="H286" s="7"/>
    </row>
    <row r="287" ht="15.3" spans="1:8">
      <c r="A287" s="7" t="s">
        <v>27</v>
      </c>
      <c r="B287" s="8">
        <v>45942</v>
      </c>
      <c r="C287" s="10">
        <v>22</v>
      </c>
      <c r="D287" s="7">
        <v>16.65</v>
      </c>
      <c r="E287" s="7" t="s">
        <v>16</v>
      </c>
      <c r="F287" s="7">
        <v>0</v>
      </c>
      <c r="G287" s="7">
        <v>5.12</v>
      </c>
      <c r="H287" s="7"/>
    </row>
    <row r="288" ht="15.3" hidden="1" spans="1:8">
      <c r="A288" s="7" t="s">
        <v>27</v>
      </c>
      <c r="B288" s="8">
        <v>45942</v>
      </c>
      <c r="C288" s="10">
        <v>23</v>
      </c>
      <c r="D288" s="7">
        <v>16.5</v>
      </c>
      <c r="E288" s="7" t="s">
        <v>16</v>
      </c>
      <c r="F288" s="7">
        <v>0</v>
      </c>
      <c r="G288" s="7">
        <v>5.31</v>
      </c>
      <c r="H288" s="7"/>
    </row>
    <row r="289" ht="15.3" spans="1:8">
      <c r="A289" s="7" t="s">
        <v>27</v>
      </c>
      <c r="B289" s="8">
        <v>45942</v>
      </c>
      <c r="C289" s="10">
        <v>24</v>
      </c>
      <c r="D289" s="7">
        <v>16.35</v>
      </c>
      <c r="E289" s="7" t="s">
        <v>16</v>
      </c>
      <c r="F289" s="7">
        <v>0</v>
      </c>
      <c r="G289" s="7">
        <v>5.25</v>
      </c>
      <c r="H289" s="7"/>
    </row>
    <row r="290" ht="15.3" hidden="1" spans="1:8">
      <c r="A290" s="7" t="s">
        <v>27</v>
      </c>
      <c r="B290" s="8">
        <v>45943</v>
      </c>
      <c r="C290" s="10">
        <v>1</v>
      </c>
      <c r="D290" s="7">
        <v>16.25</v>
      </c>
      <c r="E290" s="7" t="s">
        <v>16</v>
      </c>
      <c r="F290" s="7">
        <v>0</v>
      </c>
      <c r="G290" s="7">
        <v>5.14</v>
      </c>
      <c r="H290" s="7"/>
    </row>
    <row r="291" ht="15.3" spans="1:8">
      <c r="A291" s="7" t="s">
        <v>27</v>
      </c>
      <c r="B291" s="8">
        <v>45943</v>
      </c>
      <c r="C291" s="10">
        <v>2</v>
      </c>
      <c r="D291" s="7">
        <v>16.35</v>
      </c>
      <c r="E291" s="7" t="s">
        <v>16</v>
      </c>
      <c r="F291" s="7">
        <v>0</v>
      </c>
      <c r="G291" s="7">
        <v>5.49</v>
      </c>
      <c r="H291" s="7"/>
    </row>
    <row r="292" ht="15.3" hidden="1" spans="1:8">
      <c r="A292" s="7" t="s">
        <v>27</v>
      </c>
      <c r="B292" s="8">
        <v>45943</v>
      </c>
      <c r="C292" s="10">
        <v>3</v>
      </c>
      <c r="D292" s="7">
        <v>16.2</v>
      </c>
      <c r="E292" s="7" t="s">
        <v>16</v>
      </c>
      <c r="F292" s="7">
        <v>0</v>
      </c>
      <c r="G292" s="7">
        <v>5.71</v>
      </c>
      <c r="H292" s="7"/>
    </row>
    <row r="293" ht="15.3" spans="1:8">
      <c r="A293" s="7" t="s">
        <v>27</v>
      </c>
      <c r="B293" s="8">
        <v>45943</v>
      </c>
      <c r="C293" s="10">
        <v>4</v>
      </c>
      <c r="D293" s="7">
        <v>16.05</v>
      </c>
      <c r="E293" s="7" t="s">
        <v>16</v>
      </c>
      <c r="F293" s="7">
        <v>0</v>
      </c>
      <c r="G293" s="7">
        <v>5.11</v>
      </c>
      <c r="H293" s="7"/>
    </row>
    <row r="294" ht="15.3" hidden="1" spans="1:8">
      <c r="A294" s="7" t="s">
        <v>27</v>
      </c>
      <c r="B294" s="8">
        <v>45943</v>
      </c>
      <c r="C294" s="10">
        <v>5</v>
      </c>
      <c r="D294" s="7">
        <v>16</v>
      </c>
      <c r="E294" s="7" t="s">
        <v>16</v>
      </c>
      <c r="F294" s="7">
        <v>0</v>
      </c>
      <c r="G294" s="7">
        <v>4.4</v>
      </c>
      <c r="H294" s="7"/>
    </row>
    <row r="295" ht="15.3" spans="1:8">
      <c r="A295" s="7" t="s">
        <v>27</v>
      </c>
      <c r="B295" s="8">
        <v>45943</v>
      </c>
      <c r="C295" s="10">
        <v>6</v>
      </c>
      <c r="D295" s="7">
        <v>15.9</v>
      </c>
      <c r="E295" s="7" t="s">
        <v>16</v>
      </c>
      <c r="F295" s="7">
        <v>0</v>
      </c>
      <c r="G295" s="7">
        <v>4.1</v>
      </c>
      <c r="H295" s="7"/>
    </row>
    <row r="296" ht="15.3" hidden="1" spans="1:8">
      <c r="A296" s="7" t="s">
        <v>27</v>
      </c>
      <c r="B296" s="8">
        <v>45943</v>
      </c>
      <c r="C296" s="10">
        <v>7</v>
      </c>
      <c r="D296" s="7">
        <v>15.85</v>
      </c>
      <c r="E296" s="7" t="s">
        <v>16</v>
      </c>
      <c r="F296" s="7">
        <v>0</v>
      </c>
      <c r="G296" s="7">
        <v>4.09</v>
      </c>
      <c r="H296" s="7"/>
    </row>
    <row r="297" ht="15.3" spans="1:8">
      <c r="A297" s="7" t="s">
        <v>27</v>
      </c>
      <c r="B297" s="8">
        <v>45943</v>
      </c>
      <c r="C297" s="10">
        <v>8</v>
      </c>
      <c r="D297" s="7">
        <v>15.95</v>
      </c>
      <c r="E297" s="7" t="s">
        <v>16</v>
      </c>
      <c r="F297" s="7">
        <v>0</v>
      </c>
      <c r="G297" s="7">
        <v>4.11</v>
      </c>
      <c r="H297" s="7"/>
    </row>
    <row r="298" ht="15.3" hidden="1" spans="1:8">
      <c r="A298" s="7" t="s">
        <v>27</v>
      </c>
      <c r="B298" s="8">
        <v>45943</v>
      </c>
      <c r="C298" s="10">
        <v>9</v>
      </c>
      <c r="D298" s="7">
        <v>16.25</v>
      </c>
      <c r="E298" s="7" t="s">
        <v>16</v>
      </c>
      <c r="F298" s="7">
        <v>0</v>
      </c>
      <c r="G298" s="7">
        <v>4.03</v>
      </c>
      <c r="H298" s="7"/>
    </row>
    <row r="299" ht="15.3" spans="1:8">
      <c r="A299" s="7" t="s">
        <v>27</v>
      </c>
      <c r="B299" s="8">
        <v>45943</v>
      </c>
      <c r="C299" s="10">
        <v>10</v>
      </c>
      <c r="D299" s="7">
        <v>16.35</v>
      </c>
      <c r="E299" s="7" t="s">
        <v>16</v>
      </c>
      <c r="F299" s="7">
        <v>0</v>
      </c>
      <c r="G299" s="7">
        <v>4.35</v>
      </c>
      <c r="H299" s="7"/>
    </row>
    <row r="300" ht="15.3" hidden="1" spans="1:8">
      <c r="A300" s="7" t="s">
        <v>27</v>
      </c>
      <c r="B300" s="8">
        <v>45943</v>
      </c>
      <c r="C300" s="10">
        <v>11</v>
      </c>
      <c r="D300" s="7">
        <v>16.5</v>
      </c>
      <c r="E300" s="7" t="s">
        <v>16</v>
      </c>
      <c r="F300" s="7">
        <v>0</v>
      </c>
      <c r="G300" s="7">
        <v>4.74</v>
      </c>
      <c r="H300" s="7"/>
    </row>
    <row r="301" ht="15.3" spans="1:8">
      <c r="A301" s="7" t="s">
        <v>27</v>
      </c>
      <c r="B301" s="8">
        <v>45943</v>
      </c>
      <c r="C301" s="10">
        <v>12</v>
      </c>
      <c r="D301" s="7">
        <v>16.85</v>
      </c>
      <c r="E301" s="7" t="s">
        <v>16</v>
      </c>
      <c r="F301" s="7">
        <v>0</v>
      </c>
      <c r="G301" s="7">
        <v>4.64</v>
      </c>
      <c r="H301" s="7"/>
    </row>
    <row r="302" ht="15.3" hidden="1" spans="1:8">
      <c r="A302" s="7" t="s">
        <v>27</v>
      </c>
      <c r="B302" s="8">
        <v>45943</v>
      </c>
      <c r="C302" s="10">
        <v>13</v>
      </c>
      <c r="D302" s="7">
        <v>17.2</v>
      </c>
      <c r="E302" s="7" t="s">
        <v>16</v>
      </c>
      <c r="F302" s="7">
        <v>0</v>
      </c>
      <c r="G302" s="7">
        <v>4.9</v>
      </c>
      <c r="H302" s="7"/>
    </row>
    <row r="303" ht="15.3" spans="1:8">
      <c r="A303" s="7" t="s">
        <v>27</v>
      </c>
      <c r="B303" s="8">
        <v>45943</v>
      </c>
      <c r="C303" s="10">
        <v>14</v>
      </c>
      <c r="D303" s="7">
        <v>17.6</v>
      </c>
      <c r="E303" s="7" t="s">
        <v>16</v>
      </c>
      <c r="F303" s="7">
        <v>0</v>
      </c>
      <c r="G303" s="7">
        <v>5.57</v>
      </c>
      <c r="H303" s="7"/>
    </row>
    <row r="304" ht="15.3" hidden="1" spans="1:8">
      <c r="A304" s="7" t="s">
        <v>27</v>
      </c>
      <c r="B304" s="8">
        <v>45943</v>
      </c>
      <c r="C304" s="10">
        <v>15</v>
      </c>
      <c r="D304" s="7">
        <v>18.25</v>
      </c>
      <c r="E304" s="7" t="s">
        <v>16</v>
      </c>
      <c r="F304" s="7">
        <v>0</v>
      </c>
      <c r="G304" s="7">
        <v>5.55</v>
      </c>
      <c r="H304" s="7"/>
    </row>
    <row r="305" ht="15.3" spans="1:8">
      <c r="A305" s="7" t="s">
        <v>27</v>
      </c>
      <c r="B305" s="8">
        <v>45943</v>
      </c>
      <c r="C305" s="10">
        <v>16</v>
      </c>
      <c r="D305" s="7">
        <v>18.4</v>
      </c>
      <c r="E305" s="7" t="s">
        <v>16</v>
      </c>
      <c r="F305" s="7">
        <v>0</v>
      </c>
      <c r="G305" s="7">
        <v>5.65</v>
      </c>
      <c r="H305" s="7"/>
    </row>
    <row r="306" ht="15.3" hidden="1" spans="1:8">
      <c r="A306" s="7" t="s">
        <v>27</v>
      </c>
      <c r="B306" s="8">
        <v>45943</v>
      </c>
      <c r="C306" s="10">
        <v>17</v>
      </c>
      <c r="D306" s="7">
        <v>18.7</v>
      </c>
      <c r="E306" s="7" t="s">
        <v>16</v>
      </c>
      <c r="F306" s="7">
        <v>0</v>
      </c>
      <c r="G306" s="7">
        <v>5.08</v>
      </c>
      <c r="H306" s="7"/>
    </row>
    <row r="307" ht="15.3" spans="1:8">
      <c r="A307" s="7" t="s">
        <v>27</v>
      </c>
      <c r="B307" s="8">
        <v>45943</v>
      </c>
      <c r="C307" s="10">
        <v>18</v>
      </c>
      <c r="D307" s="7">
        <v>18.7</v>
      </c>
      <c r="E307" s="7" t="s">
        <v>16</v>
      </c>
      <c r="F307" s="7">
        <v>0</v>
      </c>
      <c r="G307" s="7">
        <v>4.78</v>
      </c>
      <c r="H307" s="7"/>
    </row>
    <row r="308" ht="15.3" hidden="1" spans="1:8">
      <c r="A308" s="7" t="s">
        <v>27</v>
      </c>
      <c r="B308" s="8">
        <v>45943</v>
      </c>
      <c r="C308" s="10">
        <v>19</v>
      </c>
      <c r="D308" s="7">
        <v>18.8</v>
      </c>
      <c r="E308" s="7" t="s">
        <v>16</v>
      </c>
      <c r="F308" s="7">
        <v>0</v>
      </c>
      <c r="G308" s="7">
        <v>4.57</v>
      </c>
      <c r="H308" s="7"/>
    </row>
    <row r="309" ht="15.3" spans="1:8">
      <c r="A309" s="7" t="s">
        <v>27</v>
      </c>
      <c r="B309" s="8">
        <v>45943</v>
      </c>
      <c r="C309" s="10">
        <v>20</v>
      </c>
      <c r="D309" s="7">
        <v>19.25</v>
      </c>
      <c r="E309" s="7" t="s">
        <v>16</v>
      </c>
      <c r="F309" s="7">
        <v>0</v>
      </c>
      <c r="G309" s="7">
        <v>4.65</v>
      </c>
      <c r="H309" s="7"/>
    </row>
    <row r="310" ht="15.3" hidden="1" spans="1:8">
      <c r="A310" s="7" t="s">
        <v>27</v>
      </c>
      <c r="B310" s="8">
        <v>45943</v>
      </c>
      <c r="C310" s="10">
        <v>21</v>
      </c>
      <c r="D310" s="7">
        <v>19.45</v>
      </c>
      <c r="E310" s="7" t="s">
        <v>16</v>
      </c>
      <c r="F310" s="7">
        <v>0</v>
      </c>
      <c r="G310" s="7">
        <v>4.85</v>
      </c>
      <c r="H310" s="7"/>
    </row>
    <row r="311" ht="15.3" spans="1:8">
      <c r="A311" s="7" t="s">
        <v>27</v>
      </c>
      <c r="B311" s="8">
        <v>45943</v>
      </c>
      <c r="C311" s="10">
        <v>22</v>
      </c>
      <c r="D311" s="7">
        <v>19.6</v>
      </c>
      <c r="E311" s="7" t="s">
        <v>16</v>
      </c>
      <c r="F311" s="7">
        <v>0</v>
      </c>
      <c r="G311" s="7">
        <v>4.2</v>
      </c>
      <c r="H311" s="7"/>
    </row>
    <row r="312" ht="15.3" hidden="1" spans="1:8">
      <c r="A312" s="7" t="s">
        <v>27</v>
      </c>
      <c r="B312" s="8">
        <v>45943</v>
      </c>
      <c r="C312" s="10">
        <v>23</v>
      </c>
      <c r="D312" s="7">
        <v>19.55</v>
      </c>
      <c r="E312" s="7" t="s">
        <v>16</v>
      </c>
      <c r="F312" s="7">
        <v>0</v>
      </c>
      <c r="G312" s="7">
        <v>3.49</v>
      </c>
      <c r="H312" s="7"/>
    </row>
    <row r="313" ht="15.3" spans="1:8">
      <c r="A313" s="7" t="s">
        <v>27</v>
      </c>
      <c r="B313" s="8">
        <v>45943</v>
      </c>
      <c r="C313" s="10">
        <v>24</v>
      </c>
      <c r="D313" s="7">
        <v>19.5</v>
      </c>
      <c r="E313" s="7" t="s">
        <v>16</v>
      </c>
      <c r="F313" s="7">
        <v>0</v>
      </c>
      <c r="G313" s="7">
        <v>3.49</v>
      </c>
      <c r="H313" s="7"/>
    </row>
    <row r="314" ht="15.3" hidden="1" spans="1:8">
      <c r="A314" s="7" t="s">
        <v>27</v>
      </c>
      <c r="B314" s="8">
        <v>45944</v>
      </c>
      <c r="C314" s="10">
        <v>1</v>
      </c>
      <c r="D314" s="7">
        <v>19.4</v>
      </c>
      <c r="E314" s="7" t="s">
        <v>16</v>
      </c>
      <c r="F314" s="7">
        <v>0</v>
      </c>
      <c r="G314" s="7">
        <v>3.78</v>
      </c>
      <c r="H314" s="7"/>
    </row>
    <row r="315" ht="15.3" spans="1:8">
      <c r="A315" s="7" t="s">
        <v>27</v>
      </c>
      <c r="B315" s="8">
        <v>45944</v>
      </c>
      <c r="C315" s="10">
        <v>2</v>
      </c>
      <c r="D315" s="7">
        <v>19.35</v>
      </c>
      <c r="E315" s="7" t="s">
        <v>16</v>
      </c>
      <c r="F315" s="7">
        <v>0</v>
      </c>
      <c r="G315" s="7">
        <v>3.76</v>
      </c>
      <c r="H315" s="7"/>
    </row>
    <row r="316" ht="15.3" hidden="1" spans="1:8">
      <c r="A316" s="7" t="s">
        <v>27</v>
      </c>
      <c r="B316" s="8">
        <v>45944</v>
      </c>
      <c r="C316" s="10">
        <v>3</v>
      </c>
      <c r="D316" s="7">
        <v>19.05</v>
      </c>
      <c r="E316" s="7" t="s">
        <v>16</v>
      </c>
      <c r="F316" s="7">
        <v>0</v>
      </c>
      <c r="G316" s="7">
        <v>3.75</v>
      </c>
      <c r="H316" s="7"/>
    </row>
    <row r="317" ht="15.3" spans="1:8">
      <c r="A317" s="7" t="s">
        <v>27</v>
      </c>
      <c r="B317" s="8">
        <v>45944</v>
      </c>
      <c r="C317" s="10">
        <v>4</v>
      </c>
      <c r="D317" s="7">
        <v>18.95</v>
      </c>
      <c r="E317" s="7" t="s">
        <v>16</v>
      </c>
      <c r="F317" s="7">
        <v>0</v>
      </c>
      <c r="G317" s="7">
        <v>3.63</v>
      </c>
      <c r="H317" s="7"/>
    </row>
    <row r="318" ht="15.3" hidden="1" spans="1:8">
      <c r="A318" s="7" t="s">
        <v>27</v>
      </c>
      <c r="B318" s="8">
        <v>45944</v>
      </c>
      <c r="C318" s="10">
        <v>5</v>
      </c>
      <c r="D318" s="7">
        <v>18.8</v>
      </c>
      <c r="E318" s="7" t="s">
        <v>16</v>
      </c>
      <c r="F318" s="7">
        <v>0</v>
      </c>
      <c r="G318" s="7">
        <v>3.33</v>
      </c>
      <c r="H318" s="7"/>
    </row>
    <row r="319" ht="15.3" spans="1:8">
      <c r="A319" s="7" t="s">
        <v>27</v>
      </c>
      <c r="B319" s="8">
        <v>45944</v>
      </c>
      <c r="C319" s="10">
        <v>6</v>
      </c>
      <c r="D319" s="7">
        <v>18.65</v>
      </c>
      <c r="E319" s="7" t="s">
        <v>16</v>
      </c>
      <c r="F319" s="7">
        <v>0</v>
      </c>
      <c r="G319" s="7">
        <v>3.09</v>
      </c>
      <c r="H319" s="7"/>
    </row>
    <row r="320" ht="15.3" hidden="1" spans="1:8">
      <c r="A320" s="7" t="s">
        <v>27</v>
      </c>
      <c r="B320" s="8">
        <v>45944</v>
      </c>
      <c r="C320" s="10">
        <v>7</v>
      </c>
      <c r="D320" s="7">
        <v>18.45</v>
      </c>
      <c r="E320" s="7" t="s">
        <v>16</v>
      </c>
      <c r="F320" s="7">
        <v>0</v>
      </c>
      <c r="G320" s="7">
        <v>2.77</v>
      </c>
      <c r="H320" s="7"/>
    </row>
    <row r="321" ht="15.3" spans="1:8">
      <c r="A321" s="7" t="s">
        <v>27</v>
      </c>
      <c r="B321" s="8">
        <v>45944</v>
      </c>
      <c r="C321" s="10">
        <v>8</v>
      </c>
      <c r="D321" s="7">
        <v>18.1</v>
      </c>
      <c r="E321" s="7" t="s">
        <v>16</v>
      </c>
      <c r="F321" s="7">
        <v>0</v>
      </c>
      <c r="G321" s="7">
        <v>2.33</v>
      </c>
      <c r="H321" s="7"/>
    </row>
    <row r="322" ht="15.3" hidden="1" spans="1:8">
      <c r="A322" s="7" t="s">
        <v>27</v>
      </c>
      <c r="B322" s="8">
        <v>45944</v>
      </c>
      <c r="C322" s="10">
        <v>9</v>
      </c>
      <c r="D322" s="7">
        <v>18.6</v>
      </c>
      <c r="E322" s="7" t="s">
        <v>16</v>
      </c>
      <c r="F322" s="7">
        <v>0</v>
      </c>
      <c r="G322" s="7">
        <v>3.36</v>
      </c>
      <c r="H322" s="7"/>
    </row>
    <row r="323" ht="15.3" spans="1:8">
      <c r="A323" s="7" t="s">
        <v>27</v>
      </c>
      <c r="B323" s="8">
        <v>45944</v>
      </c>
      <c r="C323" s="10">
        <v>10</v>
      </c>
      <c r="D323" s="7">
        <v>18.45</v>
      </c>
      <c r="E323" s="7" t="s">
        <v>16</v>
      </c>
      <c r="F323" s="7">
        <v>0</v>
      </c>
      <c r="G323" s="7">
        <v>3.38</v>
      </c>
      <c r="H323" s="7"/>
    </row>
    <row r="324" ht="15.3" hidden="1" spans="1:8">
      <c r="A324" s="7" t="s">
        <v>27</v>
      </c>
      <c r="B324" s="8">
        <v>45944</v>
      </c>
      <c r="C324" s="10">
        <v>11</v>
      </c>
      <c r="D324" s="7">
        <v>18.35</v>
      </c>
      <c r="E324" s="7" t="s">
        <v>16</v>
      </c>
      <c r="F324" s="7">
        <v>0</v>
      </c>
      <c r="G324" s="7">
        <v>3.42</v>
      </c>
      <c r="H324" s="7"/>
    </row>
    <row r="325" ht="15.3" spans="1:8">
      <c r="A325" s="7" t="s">
        <v>27</v>
      </c>
      <c r="B325" s="8">
        <v>45944</v>
      </c>
      <c r="C325" s="10">
        <v>12</v>
      </c>
      <c r="D325" s="7">
        <v>18.25</v>
      </c>
      <c r="E325" s="7" t="s">
        <v>16</v>
      </c>
      <c r="F325" s="7">
        <v>0</v>
      </c>
      <c r="G325" s="7">
        <v>3.07</v>
      </c>
      <c r="H325" s="7"/>
    </row>
    <row r="326" ht="15.3" hidden="1" spans="1:8">
      <c r="A326" s="7" t="s">
        <v>27</v>
      </c>
      <c r="B326" s="8">
        <v>45944</v>
      </c>
      <c r="C326" s="10">
        <v>13</v>
      </c>
      <c r="D326" s="7">
        <v>18.25</v>
      </c>
      <c r="E326" s="7" t="s">
        <v>16</v>
      </c>
      <c r="F326" s="7">
        <v>0</v>
      </c>
      <c r="G326" s="7">
        <v>3.02</v>
      </c>
      <c r="H326" s="7"/>
    </row>
    <row r="327" ht="15.3" spans="1:8">
      <c r="A327" s="7" t="s">
        <v>27</v>
      </c>
      <c r="B327" s="8">
        <v>45944</v>
      </c>
      <c r="C327" s="10">
        <v>14</v>
      </c>
      <c r="D327" s="7">
        <v>18.35</v>
      </c>
      <c r="E327" s="7" t="s">
        <v>16</v>
      </c>
      <c r="F327" s="7">
        <v>0</v>
      </c>
      <c r="G327" s="7">
        <v>2.61</v>
      </c>
      <c r="H327" s="7"/>
    </row>
    <row r="328" ht="15.3" hidden="1" spans="1:8">
      <c r="A328" s="7" t="s">
        <v>27</v>
      </c>
      <c r="B328" s="8">
        <v>45944</v>
      </c>
      <c r="C328" s="10">
        <v>15</v>
      </c>
      <c r="D328" s="7">
        <v>18.95</v>
      </c>
      <c r="E328" s="7" t="s">
        <v>16</v>
      </c>
      <c r="F328" s="7">
        <v>0</v>
      </c>
      <c r="G328" s="7">
        <v>2.56</v>
      </c>
      <c r="H328" s="7"/>
    </row>
    <row r="329" ht="15.3" spans="1:8">
      <c r="A329" s="7" t="s">
        <v>27</v>
      </c>
      <c r="B329" s="8">
        <v>45944</v>
      </c>
      <c r="C329" s="10">
        <v>16</v>
      </c>
      <c r="D329" s="7">
        <v>18.95</v>
      </c>
      <c r="E329" s="7" t="s">
        <v>16</v>
      </c>
      <c r="F329" s="7">
        <v>0</v>
      </c>
      <c r="G329" s="7">
        <v>2.52</v>
      </c>
      <c r="H329" s="7"/>
    </row>
    <row r="330" ht="15.3" hidden="1" spans="1:8">
      <c r="A330" s="7" t="s">
        <v>27</v>
      </c>
      <c r="B330" s="8">
        <v>45944</v>
      </c>
      <c r="C330" s="10">
        <v>17</v>
      </c>
      <c r="D330" s="7">
        <v>19</v>
      </c>
      <c r="E330" s="7" t="s">
        <v>16</v>
      </c>
      <c r="F330" s="7">
        <v>0</v>
      </c>
      <c r="G330" s="7">
        <v>1.57</v>
      </c>
      <c r="H330" s="7"/>
    </row>
    <row r="331" ht="15.3" spans="1:8">
      <c r="A331" s="7" t="s">
        <v>27</v>
      </c>
      <c r="B331" s="8">
        <v>45944</v>
      </c>
      <c r="C331" s="10">
        <v>18</v>
      </c>
      <c r="D331" s="7">
        <v>19.05</v>
      </c>
      <c r="E331" s="7" t="s">
        <v>16</v>
      </c>
      <c r="F331" s="7">
        <v>0</v>
      </c>
      <c r="G331" s="7">
        <v>1.93</v>
      </c>
      <c r="H331" s="7"/>
    </row>
    <row r="332" ht="15.3" hidden="1" spans="1:8">
      <c r="A332" s="7" t="s">
        <v>27</v>
      </c>
      <c r="B332" s="8">
        <v>45944</v>
      </c>
      <c r="C332" s="10">
        <v>19</v>
      </c>
      <c r="D332" s="7">
        <v>19.05</v>
      </c>
      <c r="E332" s="7" t="s">
        <v>16</v>
      </c>
      <c r="F332" s="7">
        <v>0</v>
      </c>
      <c r="G332" s="7">
        <v>2.78</v>
      </c>
      <c r="H332" s="7"/>
    </row>
    <row r="333" ht="15.3" spans="1:8">
      <c r="A333" s="7" t="s">
        <v>27</v>
      </c>
      <c r="B333" s="8">
        <v>45944</v>
      </c>
      <c r="C333" s="10">
        <v>20</v>
      </c>
      <c r="D333" s="7">
        <v>18.95</v>
      </c>
      <c r="E333" s="7" t="s">
        <v>16</v>
      </c>
      <c r="F333" s="7">
        <v>0</v>
      </c>
      <c r="G333" s="7">
        <v>2.76</v>
      </c>
      <c r="H333" s="7"/>
    </row>
    <row r="334" ht="15.3" hidden="1" spans="1:8">
      <c r="A334" s="7" t="s">
        <v>27</v>
      </c>
      <c r="B334" s="8">
        <v>45944</v>
      </c>
      <c r="C334" s="10">
        <v>21</v>
      </c>
      <c r="D334" s="7">
        <v>19.15</v>
      </c>
      <c r="E334" s="7" t="s">
        <v>16</v>
      </c>
      <c r="F334" s="7">
        <v>0</v>
      </c>
      <c r="G334" s="7">
        <v>2.55</v>
      </c>
      <c r="H334" s="7"/>
    </row>
    <row r="335" ht="15.3" spans="1:8">
      <c r="A335" s="7" t="s">
        <v>27</v>
      </c>
      <c r="B335" s="8">
        <v>45944</v>
      </c>
      <c r="C335" s="10">
        <v>22</v>
      </c>
      <c r="D335" s="7">
        <v>19.2</v>
      </c>
      <c r="E335" s="7" t="s">
        <v>16</v>
      </c>
      <c r="F335" s="7">
        <v>0</v>
      </c>
      <c r="G335" s="7">
        <v>2.95</v>
      </c>
      <c r="H335" s="7"/>
    </row>
    <row r="336" ht="15.3" hidden="1" spans="1:8">
      <c r="A336" s="7" t="s">
        <v>27</v>
      </c>
      <c r="B336" s="8">
        <v>45944</v>
      </c>
      <c r="C336" s="10">
        <v>23</v>
      </c>
      <c r="D336" s="7">
        <v>19.1</v>
      </c>
      <c r="E336" s="7" t="s">
        <v>16</v>
      </c>
      <c r="F336" s="7">
        <v>0</v>
      </c>
      <c r="G336" s="7">
        <v>2.43</v>
      </c>
      <c r="H336" s="7"/>
    </row>
    <row r="337" ht="15.3" spans="1:8">
      <c r="A337" s="7" t="s">
        <v>27</v>
      </c>
      <c r="B337" s="8">
        <v>45944</v>
      </c>
      <c r="C337" s="10">
        <v>24</v>
      </c>
      <c r="D337" s="7">
        <v>19.05</v>
      </c>
      <c r="E337" s="7" t="s">
        <v>16</v>
      </c>
      <c r="F337" s="7">
        <v>0</v>
      </c>
      <c r="G337" s="7">
        <v>2.82</v>
      </c>
      <c r="H337" s="7"/>
    </row>
    <row r="338" ht="15.3" hidden="1" spans="1:8">
      <c r="A338" s="7" t="s">
        <v>27</v>
      </c>
      <c r="B338" s="8">
        <v>45945</v>
      </c>
      <c r="C338" s="10">
        <v>1</v>
      </c>
      <c r="D338" s="7">
        <v>19.1</v>
      </c>
      <c r="E338" s="7" t="s">
        <v>16</v>
      </c>
      <c r="F338" s="7">
        <v>0</v>
      </c>
      <c r="G338" s="7">
        <v>3.33</v>
      </c>
      <c r="H338" s="7"/>
    </row>
    <row r="339" ht="15.3" spans="1:8">
      <c r="A339" s="7" t="s">
        <v>27</v>
      </c>
      <c r="B339" s="8">
        <v>45945</v>
      </c>
      <c r="C339" s="10">
        <v>2</v>
      </c>
      <c r="D339" s="7">
        <v>19.15</v>
      </c>
      <c r="E339" s="7" t="s">
        <v>16</v>
      </c>
      <c r="F339" s="7">
        <v>0</v>
      </c>
      <c r="G339" s="7">
        <v>3.44</v>
      </c>
      <c r="H339" s="7"/>
    </row>
    <row r="340" ht="15.3" hidden="1" spans="1:8">
      <c r="A340" s="7" t="s">
        <v>27</v>
      </c>
      <c r="B340" s="8">
        <v>45945</v>
      </c>
      <c r="C340" s="10">
        <v>3</v>
      </c>
      <c r="D340" s="7">
        <v>19.1</v>
      </c>
      <c r="E340" s="7" t="s">
        <v>16</v>
      </c>
      <c r="F340" s="7">
        <v>0</v>
      </c>
      <c r="G340" s="7">
        <v>3.54</v>
      </c>
      <c r="H340" s="7"/>
    </row>
    <row r="341" ht="15.3" spans="1:8">
      <c r="A341" s="7" t="s">
        <v>27</v>
      </c>
      <c r="B341" s="8">
        <v>45945</v>
      </c>
      <c r="C341" s="10">
        <v>4</v>
      </c>
      <c r="D341" s="7">
        <v>19.15</v>
      </c>
      <c r="E341" s="7" t="s">
        <v>16</v>
      </c>
      <c r="F341" s="7">
        <v>0</v>
      </c>
      <c r="G341" s="7">
        <v>3.61</v>
      </c>
      <c r="H341" s="7"/>
    </row>
    <row r="342" ht="15.3" hidden="1" spans="1:8">
      <c r="A342" s="7" t="s">
        <v>27</v>
      </c>
      <c r="B342" s="8">
        <v>45945</v>
      </c>
      <c r="C342" s="10">
        <v>5</v>
      </c>
      <c r="D342" s="7">
        <v>19.25</v>
      </c>
      <c r="E342" s="7" t="s">
        <v>16</v>
      </c>
      <c r="F342" s="7">
        <v>0</v>
      </c>
      <c r="G342" s="7">
        <v>3.13</v>
      </c>
      <c r="H342" s="7"/>
    </row>
    <row r="343" ht="15.3" spans="1:8">
      <c r="A343" s="7" t="s">
        <v>27</v>
      </c>
      <c r="B343" s="8">
        <v>45945</v>
      </c>
      <c r="C343" s="10">
        <v>6</v>
      </c>
      <c r="D343" s="7">
        <v>19.35</v>
      </c>
      <c r="E343" s="7" t="s">
        <v>16</v>
      </c>
      <c r="F343" s="7">
        <v>0</v>
      </c>
      <c r="G343" s="7">
        <v>3.48</v>
      </c>
      <c r="H343" s="7"/>
    </row>
    <row r="344" ht="15.3" hidden="1" spans="1:8">
      <c r="A344" s="7" t="s">
        <v>27</v>
      </c>
      <c r="B344" s="8">
        <v>45945</v>
      </c>
      <c r="C344" s="10">
        <v>7</v>
      </c>
      <c r="D344" s="7">
        <v>19.4</v>
      </c>
      <c r="E344" s="7" t="s">
        <v>16</v>
      </c>
      <c r="F344" s="7">
        <v>0</v>
      </c>
      <c r="G344" s="7">
        <v>4.35</v>
      </c>
      <c r="H344" s="7"/>
    </row>
    <row r="345" ht="15.3" spans="1:8">
      <c r="A345" s="7" t="s">
        <v>27</v>
      </c>
      <c r="B345" s="8">
        <v>45945</v>
      </c>
      <c r="C345" s="10">
        <v>8</v>
      </c>
      <c r="D345" s="7">
        <v>19.35</v>
      </c>
      <c r="E345" s="7" t="s">
        <v>16</v>
      </c>
      <c r="F345" s="7">
        <v>0</v>
      </c>
      <c r="G345" s="7">
        <v>4.79</v>
      </c>
      <c r="H345" s="7"/>
    </row>
    <row r="346" ht="15.3" hidden="1" spans="1:8">
      <c r="A346" s="7" t="s">
        <v>27</v>
      </c>
      <c r="B346" s="8">
        <v>45945</v>
      </c>
      <c r="C346" s="10">
        <v>9</v>
      </c>
      <c r="D346" s="7">
        <v>19.2</v>
      </c>
      <c r="E346" s="7" t="s">
        <v>16</v>
      </c>
      <c r="F346" s="7">
        <v>0</v>
      </c>
      <c r="G346" s="7">
        <v>5.42</v>
      </c>
      <c r="H346" s="7"/>
    </row>
    <row r="347" ht="15.3" spans="1:8">
      <c r="A347" s="7" t="s">
        <v>27</v>
      </c>
      <c r="B347" s="8">
        <v>45945</v>
      </c>
      <c r="C347" s="10">
        <v>10</v>
      </c>
      <c r="D347" s="7">
        <v>19.2</v>
      </c>
      <c r="E347" s="7" t="s">
        <v>16</v>
      </c>
      <c r="F347" s="7">
        <v>0</v>
      </c>
      <c r="G347" s="7">
        <v>4.97</v>
      </c>
      <c r="H347" s="7"/>
    </row>
    <row r="348" ht="15.3" hidden="1" spans="1:8">
      <c r="A348" s="7" t="s">
        <v>27</v>
      </c>
      <c r="B348" s="8">
        <v>45945</v>
      </c>
      <c r="C348" s="10">
        <v>11</v>
      </c>
      <c r="D348" s="7">
        <v>19.2</v>
      </c>
      <c r="E348" s="7" t="s">
        <v>16</v>
      </c>
      <c r="F348" s="7">
        <v>0</v>
      </c>
      <c r="G348" s="7">
        <v>4.16</v>
      </c>
      <c r="H348" s="7"/>
    </row>
    <row r="349" ht="15.3" spans="1:8">
      <c r="A349" s="7" t="s">
        <v>27</v>
      </c>
      <c r="B349" s="8">
        <v>45945</v>
      </c>
      <c r="C349" s="10">
        <v>12</v>
      </c>
      <c r="D349" s="7">
        <v>19.25</v>
      </c>
      <c r="E349" s="7" t="s">
        <v>16</v>
      </c>
      <c r="F349" s="7">
        <v>0</v>
      </c>
      <c r="G349" s="7">
        <v>3.66</v>
      </c>
      <c r="H349" s="7"/>
    </row>
    <row r="350" ht="15.3" hidden="1" spans="1:8">
      <c r="A350" s="7" t="s">
        <v>27</v>
      </c>
      <c r="B350" s="8">
        <v>45945</v>
      </c>
      <c r="C350" s="10">
        <v>13</v>
      </c>
      <c r="D350" s="7">
        <v>19.3</v>
      </c>
      <c r="E350" s="7" t="s">
        <v>16</v>
      </c>
      <c r="F350" s="7">
        <v>0</v>
      </c>
      <c r="G350" s="7">
        <v>3.28</v>
      </c>
      <c r="H350" s="7"/>
    </row>
    <row r="351" ht="15.3" spans="1:8">
      <c r="A351" s="7" t="s">
        <v>27</v>
      </c>
      <c r="B351" s="8">
        <v>45945</v>
      </c>
      <c r="C351" s="10">
        <v>14</v>
      </c>
      <c r="D351" s="7">
        <v>19.4</v>
      </c>
      <c r="E351" s="7" t="s">
        <v>16</v>
      </c>
      <c r="F351" s="7">
        <v>0</v>
      </c>
      <c r="G351" s="7">
        <v>2.88</v>
      </c>
      <c r="H351" s="7"/>
    </row>
    <row r="352" ht="15.3" hidden="1" spans="1:8">
      <c r="A352" s="7" t="s">
        <v>27</v>
      </c>
      <c r="B352" s="8">
        <v>45945</v>
      </c>
      <c r="C352" s="10">
        <v>15</v>
      </c>
      <c r="D352" s="7">
        <v>19.35</v>
      </c>
      <c r="E352" s="7" t="s">
        <v>16</v>
      </c>
      <c r="F352" s="7">
        <v>0</v>
      </c>
      <c r="G352" s="7">
        <v>3.81</v>
      </c>
      <c r="H352" s="7"/>
    </row>
    <row r="353" ht="15.3" spans="1:8">
      <c r="A353" s="7" t="s">
        <v>27</v>
      </c>
      <c r="B353" s="8">
        <v>45945</v>
      </c>
      <c r="C353" s="10">
        <v>16</v>
      </c>
      <c r="D353" s="7">
        <v>19.05</v>
      </c>
      <c r="E353" s="7" t="s">
        <v>17</v>
      </c>
      <c r="F353" s="7">
        <v>0.4</v>
      </c>
      <c r="G353" s="7">
        <v>5.18</v>
      </c>
      <c r="H353" s="7"/>
    </row>
    <row r="354" ht="15.3" hidden="1" spans="1:8">
      <c r="A354" s="7" t="s">
        <v>27</v>
      </c>
      <c r="B354" s="8">
        <v>45945</v>
      </c>
      <c r="C354" s="10">
        <v>17</v>
      </c>
      <c r="D354" s="7">
        <v>18.75</v>
      </c>
      <c r="E354" s="7" t="s">
        <v>16</v>
      </c>
      <c r="F354" s="7">
        <v>0.3</v>
      </c>
      <c r="G354" s="7">
        <v>6.4</v>
      </c>
      <c r="H354" s="7"/>
    </row>
    <row r="355" ht="15.3" spans="1:8">
      <c r="A355" s="7" t="s">
        <v>27</v>
      </c>
      <c r="B355" s="8">
        <v>45945</v>
      </c>
      <c r="C355" s="10">
        <v>18</v>
      </c>
      <c r="D355" s="7">
        <v>18.8</v>
      </c>
      <c r="E355" s="7" t="s">
        <v>16</v>
      </c>
      <c r="F355" s="7">
        <v>0.2</v>
      </c>
      <c r="G355" s="7">
        <v>5.11</v>
      </c>
      <c r="H355" s="7"/>
    </row>
    <row r="356" ht="15.3" hidden="1" spans="1:8">
      <c r="A356" s="7" t="s">
        <v>27</v>
      </c>
      <c r="B356" s="8">
        <v>45945</v>
      </c>
      <c r="C356" s="10">
        <v>19</v>
      </c>
      <c r="D356" s="7">
        <v>18.5</v>
      </c>
      <c r="E356" s="7" t="s">
        <v>17</v>
      </c>
      <c r="F356" s="7">
        <v>0.4</v>
      </c>
      <c r="G356" s="7">
        <v>3.86</v>
      </c>
      <c r="H356" s="7"/>
    </row>
    <row r="357" ht="15.3" spans="1:8">
      <c r="A357" s="7" t="s">
        <v>27</v>
      </c>
      <c r="B357" s="8">
        <v>45945</v>
      </c>
      <c r="C357" s="10">
        <v>20</v>
      </c>
      <c r="D357" s="7">
        <v>18.9</v>
      </c>
      <c r="E357" s="7" t="s">
        <v>16</v>
      </c>
      <c r="F357" s="7">
        <v>0.1</v>
      </c>
      <c r="G357" s="7">
        <v>4.89</v>
      </c>
      <c r="H357" s="7"/>
    </row>
    <row r="358" ht="15.3" hidden="1" spans="1:8">
      <c r="A358" s="7" t="s">
        <v>27</v>
      </c>
      <c r="B358" s="8">
        <v>45945</v>
      </c>
      <c r="C358" s="10">
        <v>21</v>
      </c>
      <c r="D358" s="7">
        <v>18.55</v>
      </c>
      <c r="E358" s="7" t="s">
        <v>16</v>
      </c>
      <c r="F358" s="7">
        <v>0</v>
      </c>
      <c r="G358" s="7">
        <v>6.46</v>
      </c>
      <c r="H358" s="7"/>
    </row>
    <row r="359" ht="15.3" spans="1:8">
      <c r="A359" s="7" t="s">
        <v>27</v>
      </c>
      <c r="B359" s="8">
        <v>45945</v>
      </c>
      <c r="C359" s="10">
        <v>22</v>
      </c>
      <c r="D359" s="7">
        <v>18.1</v>
      </c>
      <c r="E359" s="7" t="s">
        <v>16</v>
      </c>
      <c r="F359" s="7">
        <v>0.1</v>
      </c>
      <c r="G359" s="7">
        <v>7.9</v>
      </c>
      <c r="H359" s="7"/>
    </row>
    <row r="360" ht="15.3" hidden="1" spans="1:8">
      <c r="A360" s="7" t="s">
        <v>27</v>
      </c>
      <c r="B360" s="8">
        <v>45945</v>
      </c>
      <c r="C360" s="10">
        <v>23</v>
      </c>
      <c r="D360" s="7">
        <v>17.45</v>
      </c>
      <c r="E360" s="7" t="s">
        <v>16</v>
      </c>
      <c r="F360" s="7">
        <v>0.2</v>
      </c>
      <c r="G360" s="7">
        <v>9.57</v>
      </c>
      <c r="H360" s="7"/>
    </row>
    <row r="361" ht="15.3" spans="1:8">
      <c r="A361" s="7" t="s">
        <v>27</v>
      </c>
      <c r="B361" s="8">
        <v>45945</v>
      </c>
      <c r="C361" s="10">
        <v>24</v>
      </c>
      <c r="D361" s="7">
        <v>17.55</v>
      </c>
      <c r="E361" s="7" t="s">
        <v>16</v>
      </c>
      <c r="F361" s="7">
        <v>0.1</v>
      </c>
      <c r="G361" s="7">
        <v>10.87</v>
      </c>
      <c r="H361" s="7"/>
    </row>
    <row r="362" ht="15.3" hidden="1" spans="1:8">
      <c r="A362" s="7" t="s">
        <v>27</v>
      </c>
      <c r="B362" s="8">
        <v>45946</v>
      </c>
      <c r="C362" s="10">
        <v>1</v>
      </c>
      <c r="D362" s="7">
        <v>17.05</v>
      </c>
      <c r="E362" s="7" t="s">
        <v>16</v>
      </c>
      <c r="F362" s="7">
        <v>0.2</v>
      </c>
      <c r="G362" s="7">
        <v>12.34</v>
      </c>
      <c r="H362" s="7"/>
    </row>
    <row r="363" ht="15.3" spans="1:8">
      <c r="A363" s="7" t="s">
        <v>27</v>
      </c>
      <c r="B363" s="8">
        <v>45946</v>
      </c>
      <c r="C363" s="10">
        <v>2</v>
      </c>
      <c r="D363" s="7">
        <v>16.7</v>
      </c>
      <c r="E363" s="7" t="s">
        <v>16</v>
      </c>
      <c r="F363" s="7">
        <v>0</v>
      </c>
      <c r="G363" s="7">
        <v>12.83</v>
      </c>
      <c r="H363" s="7"/>
    </row>
    <row r="364" ht="15.3" hidden="1" spans="1:8">
      <c r="A364" s="7" t="s">
        <v>27</v>
      </c>
      <c r="B364" s="8">
        <v>45946</v>
      </c>
      <c r="C364" s="10">
        <v>3</v>
      </c>
      <c r="D364" s="7">
        <v>16.3</v>
      </c>
      <c r="E364" s="7" t="s">
        <v>16</v>
      </c>
      <c r="F364" s="7">
        <v>0</v>
      </c>
      <c r="G364" s="7">
        <v>12.48</v>
      </c>
      <c r="H364" s="7"/>
    </row>
    <row r="365" ht="15.3" spans="1:8">
      <c r="A365" s="7" t="s">
        <v>27</v>
      </c>
      <c r="B365" s="8">
        <v>45946</v>
      </c>
      <c r="C365" s="10">
        <v>4</v>
      </c>
      <c r="D365" s="7">
        <v>15.7</v>
      </c>
      <c r="E365" s="7" t="s">
        <v>16</v>
      </c>
      <c r="F365" s="7">
        <v>0</v>
      </c>
      <c r="G365" s="7">
        <v>12.63</v>
      </c>
      <c r="H365" s="7"/>
    </row>
    <row r="366" ht="15.3" hidden="1" spans="1:8">
      <c r="A366" s="7" t="s">
        <v>27</v>
      </c>
      <c r="B366" s="8">
        <v>45946</v>
      </c>
      <c r="C366" s="10">
        <v>5</v>
      </c>
      <c r="D366" s="7">
        <v>15.2</v>
      </c>
      <c r="E366" s="7" t="s">
        <v>18</v>
      </c>
      <c r="F366" s="7">
        <v>0</v>
      </c>
      <c r="G366" s="7">
        <v>12.54</v>
      </c>
      <c r="H366" s="7"/>
    </row>
    <row r="367" ht="15.3" spans="1:8">
      <c r="A367" s="7" t="s">
        <v>27</v>
      </c>
      <c r="B367" s="8">
        <v>45946</v>
      </c>
      <c r="C367" s="10">
        <v>6</v>
      </c>
      <c r="D367" s="7">
        <v>14.75</v>
      </c>
      <c r="E367" s="7" t="s">
        <v>18</v>
      </c>
      <c r="F367" s="7">
        <v>0</v>
      </c>
      <c r="G367" s="7">
        <v>12.47</v>
      </c>
      <c r="H367" s="7"/>
    </row>
    <row r="368" ht="15.3" hidden="1" spans="1:8">
      <c r="A368" s="7" t="s">
        <v>27</v>
      </c>
      <c r="B368" s="8">
        <v>45946</v>
      </c>
      <c r="C368" s="10">
        <v>7</v>
      </c>
      <c r="D368" s="7">
        <v>14.25</v>
      </c>
      <c r="E368" s="7" t="s">
        <v>18</v>
      </c>
      <c r="F368" s="7">
        <v>0</v>
      </c>
      <c r="G368" s="7">
        <v>12.77</v>
      </c>
      <c r="H368" s="7"/>
    </row>
    <row r="369" ht="15.3" spans="1:8">
      <c r="A369" s="7" t="s">
        <v>27</v>
      </c>
      <c r="B369" s="8">
        <v>45946</v>
      </c>
      <c r="C369" s="10">
        <v>8</v>
      </c>
      <c r="D369" s="7">
        <v>13.9</v>
      </c>
      <c r="E369" s="7" t="s">
        <v>18</v>
      </c>
      <c r="F369" s="7">
        <v>0</v>
      </c>
      <c r="G369" s="7">
        <v>12.4</v>
      </c>
      <c r="H369" s="7"/>
    </row>
    <row r="370" ht="15.3" hidden="1" spans="1:8">
      <c r="A370" s="7" t="s">
        <v>27</v>
      </c>
      <c r="B370" s="8">
        <v>45946</v>
      </c>
      <c r="C370" s="10">
        <v>9</v>
      </c>
      <c r="D370" s="7">
        <v>13.75</v>
      </c>
      <c r="E370" s="7" t="s">
        <v>19</v>
      </c>
      <c r="F370" s="7">
        <v>0</v>
      </c>
      <c r="G370" s="7">
        <v>11.83</v>
      </c>
      <c r="H370" s="7"/>
    </row>
    <row r="371" ht="15.3" spans="1:8">
      <c r="A371" s="7" t="s">
        <v>27</v>
      </c>
      <c r="B371" s="8">
        <v>45946</v>
      </c>
      <c r="C371" s="10">
        <v>10</v>
      </c>
      <c r="D371" s="7">
        <v>13.55</v>
      </c>
      <c r="E371" s="7" t="s">
        <v>18</v>
      </c>
      <c r="F371" s="7">
        <v>0</v>
      </c>
      <c r="G371" s="7">
        <v>11.91</v>
      </c>
      <c r="H371" s="7"/>
    </row>
    <row r="372" ht="15.3" hidden="1" spans="1:8">
      <c r="A372" s="7" t="s">
        <v>27</v>
      </c>
      <c r="B372" s="8">
        <v>45946</v>
      </c>
      <c r="C372" s="10">
        <v>11</v>
      </c>
      <c r="D372" s="7">
        <v>13.4</v>
      </c>
      <c r="E372" s="7" t="s">
        <v>18</v>
      </c>
      <c r="F372" s="7">
        <v>0</v>
      </c>
      <c r="G372" s="7">
        <v>11.29</v>
      </c>
      <c r="H372" s="7"/>
    </row>
    <row r="373" ht="15.3" spans="1:8">
      <c r="A373" s="7" t="s">
        <v>27</v>
      </c>
      <c r="B373" s="8">
        <v>45946</v>
      </c>
      <c r="C373" s="10">
        <v>12</v>
      </c>
      <c r="D373" s="7">
        <v>13.65</v>
      </c>
      <c r="E373" s="7" t="s">
        <v>18</v>
      </c>
      <c r="F373" s="7">
        <v>0</v>
      </c>
      <c r="G373" s="7">
        <v>10.65</v>
      </c>
      <c r="H373" s="7"/>
    </row>
    <row r="374" ht="15.3" hidden="1" spans="1:8">
      <c r="A374" s="7" t="s">
        <v>27</v>
      </c>
      <c r="B374" s="8">
        <v>45946</v>
      </c>
      <c r="C374" s="10">
        <v>13</v>
      </c>
      <c r="D374" s="7">
        <v>13.6</v>
      </c>
      <c r="E374" s="7" t="s">
        <v>18</v>
      </c>
      <c r="F374" s="7">
        <v>0</v>
      </c>
      <c r="G374" s="7">
        <v>10.11</v>
      </c>
      <c r="H374" s="7"/>
    </row>
    <row r="375" ht="15.3" spans="1:8">
      <c r="A375" s="7" t="s">
        <v>27</v>
      </c>
      <c r="B375" s="8">
        <v>45946</v>
      </c>
      <c r="C375" s="10">
        <v>14</v>
      </c>
      <c r="D375" s="7">
        <v>13.9</v>
      </c>
      <c r="E375" s="7" t="s">
        <v>18</v>
      </c>
      <c r="F375" s="7">
        <v>0</v>
      </c>
      <c r="G375" s="7">
        <v>9.82</v>
      </c>
      <c r="H375" s="7"/>
    </row>
    <row r="376" ht="15.3" hidden="1" spans="1:8">
      <c r="A376" s="7" t="s">
        <v>27</v>
      </c>
      <c r="B376" s="8">
        <v>45946</v>
      </c>
      <c r="C376" s="10">
        <v>15</v>
      </c>
      <c r="D376" s="7">
        <v>14</v>
      </c>
      <c r="E376" s="7" t="s">
        <v>19</v>
      </c>
      <c r="F376" s="7">
        <v>0</v>
      </c>
      <c r="G376" s="7">
        <v>9.97</v>
      </c>
      <c r="H376" s="7"/>
    </row>
    <row r="377" ht="15.3" spans="1:8">
      <c r="A377" s="7" t="s">
        <v>27</v>
      </c>
      <c r="B377" s="8">
        <v>45946</v>
      </c>
      <c r="C377" s="10">
        <v>16</v>
      </c>
      <c r="D377" s="7">
        <v>14.45</v>
      </c>
      <c r="E377" s="7" t="s">
        <v>19</v>
      </c>
      <c r="F377" s="7">
        <v>0</v>
      </c>
      <c r="G377" s="7">
        <v>9.44</v>
      </c>
      <c r="H377" s="7"/>
    </row>
    <row r="378" ht="15.3" hidden="1" spans="1:8">
      <c r="A378" s="7" t="s">
        <v>27</v>
      </c>
      <c r="B378" s="8">
        <v>45946</v>
      </c>
      <c r="C378" s="10">
        <v>17</v>
      </c>
      <c r="D378" s="7">
        <v>14.85</v>
      </c>
      <c r="E378" s="7" t="s">
        <v>16</v>
      </c>
      <c r="F378" s="7">
        <v>0</v>
      </c>
      <c r="G378" s="7">
        <v>8.39</v>
      </c>
      <c r="H378" s="7"/>
    </row>
    <row r="379" ht="15.3" spans="1:8">
      <c r="A379" s="7" t="s">
        <v>27</v>
      </c>
      <c r="B379" s="8">
        <v>45946</v>
      </c>
      <c r="C379" s="10">
        <v>18</v>
      </c>
      <c r="D379" s="7">
        <v>15.1</v>
      </c>
      <c r="E379" s="7" t="s">
        <v>19</v>
      </c>
      <c r="F379" s="7">
        <v>0</v>
      </c>
      <c r="G379" s="7">
        <v>8.18</v>
      </c>
      <c r="H379" s="7"/>
    </row>
    <row r="380" ht="15.3" hidden="1" spans="1:8">
      <c r="A380" s="7" t="s">
        <v>27</v>
      </c>
      <c r="B380" s="8">
        <v>45946</v>
      </c>
      <c r="C380" s="10">
        <v>19</v>
      </c>
      <c r="D380" s="7">
        <v>15.15</v>
      </c>
      <c r="E380" s="7" t="s">
        <v>16</v>
      </c>
      <c r="F380" s="7">
        <v>0</v>
      </c>
      <c r="G380" s="7">
        <v>8.77</v>
      </c>
      <c r="H380" s="7"/>
    </row>
    <row r="381" ht="15.3" spans="1:8">
      <c r="A381" s="7" t="s">
        <v>27</v>
      </c>
      <c r="B381" s="8">
        <v>45946</v>
      </c>
      <c r="C381" s="10">
        <v>20</v>
      </c>
      <c r="D381" s="7">
        <v>15.2</v>
      </c>
      <c r="E381" s="7" t="s">
        <v>16</v>
      </c>
      <c r="F381" s="7">
        <v>0</v>
      </c>
      <c r="G381" s="7">
        <v>8.95</v>
      </c>
      <c r="H381" s="7"/>
    </row>
    <row r="382" ht="15.3" hidden="1" spans="1:8">
      <c r="A382" s="7" t="s">
        <v>27</v>
      </c>
      <c r="B382" s="8">
        <v>45946</v>
      </c>
      <c r="C382" s="10">
        <v>21</v>
      </c>
      <c r="D382" s="7">
        <v>15.3</v>
      </c>
      <c r="E382" s="7" t="s">
        <v>16</v>
      </c>
      <c r="F382" s="7">
        <v>0</v>
      </c>
      <c r="G382" s="7">
        <v>8.16</v>
      </c>
      <c r="H382" s="7"/>
    </row>
    <row r="383" ht="15.3" spans="1:8">
      <c r="A383" s="7" t="s">
        <v>27</v>
      </c>
      <c r="B383" s="8">
        <v>45946</v>
      </c>
      <c r="C383" s="10">
        <v>22</v>
      </c>
      <c r="D383" s="7">
        <v>15.35</v>
      </c>
      <c r="E383" s="7" t="s">
        <v>16</v>
      </c>
      <c r="F383" s="7">
        <v>0</v>
      </c>
      <c r="G383" s="7">
        <v>7.21</v>
      </c>
      <c r="H383" s="7"/>
    </row>
    <row r="384" ht="15.3" hidden="1" spans="1:8">
      <c r="A384" s="7" t="s">
        <v>27</v>
      </c>
      <c r="B384" s="8">
        <v>45946</v>
      </c>
      <c r="C384" s="10">
        <v>23</v>
      </c>
      <c r="D384" s="7">
        <v>15.4</v>
      </c>
      <c r="E384" s="7" t="s">
        <v>16</v>
      </c>
      <c r="F384" s="7">
        <v>0</v>
      </c>
      <c r="G384" s="7">
        <v>6.91</v>
      </c>
      <c r="H384" s="7"/>
    </row>
    <row r="385" ht="15.3" spans="1:8">
      <c r="A385" s="7" t="s">
        <v>27</v>
      </c>
      <c r="B385" s="8">
        <v>45946</v>
      </c>
      <c r="C385" s="10">
        <v>24</v>
      </c>
      <c r="D385" s="7">
        <v>15.3</v>
      </c>
      <c r="E385" s="7" t="s">
        <v>16</v>
      </c>
      <c r="F385" s="7">
        <v>0</v>
      </c>
      <c r="G385" s="7">
        <v>7.22</v>
      </c>
      <c r="H385" s="7"/>
    </row>
    <row r="386" ht="15.3" hidden="1" spans="1:8">
      <c r="A386" s="7" t="s">
        <v>27</v>
      </c>
      <c r="B386" s="8">
        <v>45947</v>
      </c>
      <c r="C386" s="10">
        <v>1</v>
      </c>
      <c r="D386" s="7">
        <v>15.3</v>
      </c>
      <c r="E386" s="7" t="s">
        <v>16</v>
      </c>
      <c r="F386" s="7">
        <v>0</v>
      </c>
      <c r="G386" s="7">
        <v>7.08</v>
      </c>
      <c r="H386" s="7"/>
    </row>
    <row r="387" ht="15.3" spans="1:8">
      <c r="A387" s="7" t="s">
        <v>27</v>
      </c>
      <c r="B387" s="8">
        <v>45947</v>
      </c>
      <c r="C387" s="10">
        <v>2</v>
      </c>
      <c r="D387" s="7">
        <v>15.4</v>
      </c>
      <c r="E387" s="7" t="s">
        <v>16</v>
      </c>
      <c r="F387" s="7">
        <v>0</v>
      </c>
      <c r="G387" s="7">
        <v>6.71</v>
      </c>
      <c r="H387" s="7"/>
    </row>
    <row r="388" ht="15.3" hidden="1" spans="1:8">
      <c r="A388" s="7" t="s">
        <v>27</v>
      </c>
      <c r="B388" s="8">
        <v>45947</v>
      </c>
      <c r="C388" s="10">
        <v>3</v>
      </c>
      <c r="D388" s="7">
        <v>15.3</v>
      </c>
      <c r="E388" s="7" t="s">
        <v>16</v>
      </c>
      <c r="F388" s="7">
        <v>0</v>
      </c>
      <c r="G388" s="7">
        <v>6.67</v>
      </c>
      <c r="H388" s="7"/>
    </row>
    <row r="389" ht="15.3" spans="1:8">
      <c r="A389" s="7" t="s">
        <v>27</v>
      </c>
      <c r="B389" s="8">
        <v>45947</v>
      </c>
      <c r="C389" s="10">
        <v>4</v>
      </c>
      <c r="D389" s="7">
        <v>15.4</v>
      </c>
      <c r="E389" s="7" t="s">
        <v>19</v>
      </c>
      <c r="F389" s="7">
        <v>0</v>
      </c>
      <c r="G389" s="7">
        <v>5.63</v>
      </c>
      <c r="H389" s="7"/>
    </row>
    <row r="390" ht="15.3" hidden="1" spans="1:8">
      <c r="A390" s="7" t="s">
        <v>27</v>
      </c>
      <c r="B390" s="8">
        <v>45947</v>
      </c>
      <c r="C390" s="10">
        <v>5</v>
      </c>
      <c r="D390" s="7">
        <v>15.5</v>
      </c>
      <c r="E390" s="7" t="s">
        <v>16</v>
      </c>
      <c r="F390" s="7">
        <v>0</v>
      </c>
      <c r="G390" s="7">
        <v>4.76</v>
      </c>
      <c r="H390" s="7"/>
    </row>
    <row r="391" ht="15.3" spans="1:8">
      <c r="A391" s="7" t="s">
        <v>27</v>
      </c>
      <c r="B391" s="8">
        <v>45947</v>
      </c>
      <c r="C391" s="10">
        <v>6</v>
      </c>
      <c r="D391" s="7">
        <v>14.55</v>
      </c>
      <c r="E391" s="7" t="s">
        <v>16</v>
      </c>
      <c r="F391" s="7">
        <v>0</v>
      </c>
      <c r="G391" s="7">
        <v>7.02</v>
      </c>
      <c r="H391" s="7"/>
    </row>
    <row r="392" ht="15.3" hidden="1" spans="1:8">
      <c r="A392" s="7" t="s">
        <v>27</v>
      </c>
      <c r="B392" s="8">
        <v>45947</v>
      </c>
      <c r="C392" s="10">
        <v>7</v>
      </c>
      <c r="D392" s="7">
        <v>14.6</v>
      </c>
      <c r="E392" s="7" t="s">
        <v>16</v>
      </c>
      <c r="F392" s="7">
        <v>0</v>
      </c>
      <c r="G392" s="7">
        <v>6.08</v>
      </c>
      <c r="H392" s="7"/>
    </row>
    <row r="393" ht="15.3" spans="1:8">
      <c r="A393" s="7" t="s">
        <v>27</v>
      </c>
      <c r="B393" s="8">
        <v>45947</v>
      </c>
      <c r="C393" s="10">
        <v>8</v>
      </c>
      <c r="D393" s="7">
        <v>14.75</v>
      </c>
      <c r="E393" s="7" t="s">
        <v>16</v>
      </c>
      <c r="F393" s="7">
        <v>0</v>
      </c>
      <c r="G393" s="7">
        <v>6.28</v>
      </c>
      <c r="H393" s="7"/>
    </row>
    <row r="394" ht="15.3" hidden="1" spans="1:8">
      <c r="A394" s="7" t="s">
        <v>27</v>
      </c>
      <c r="B394" s="8">
        <v>45947</v>
      </c>
      <c r="C394" s="10">
        <v>9</v>
      </c>
      <c r="D394" s="7">
        <v>14.2</v>
      </c>
      <c r="E394" s="7" t="s">
        <v>16</v>
      </c>
      <c r="F394" s="7">
        <v>0.2</v>
      </c>
      <c r="G394" s="7">
        <v>7.55</v>
      </c>
      <c r="H394" s="7"/>
    </row>
    <row r="395" ht="15.3" spans="1:8">
      <c r="A395" s="7" t="s">
        <v>27</v>
      </c>
      <c r="B395" s="8">
        <v>45947</v>
      </c>
      <c r="C395" s="10">
        <v>10</v>
      </c>
      <c r="D395" s="7">
        <v>13.85</v>
      </c>
      <c r="E395" s="7" t="s">
        <v>17</v>
      </c>
      <c r="F395" s="7">
        <v>0.5</v>
      </c>
      <c r="G395" s="7">
        <v>6.59</v>
      </c>
      <c r="H395" s="7"/>
    </row>
    <row r="396" ht="15.3" hidden="1" spans="1:8">
      <c r="A396" s="7" t="s">
        <v>27</v>
      </c>
      <c r="B396" s="8">
        <v>45947</v>
      </c>
      <c r="C396" s="10">
        <v>11</v>
      </c>
      <c r="D396" s="7">
        <v>13.5</v>
      </c>
      <c r="E396" s="7" t="s">
        <v>16</v>
      </c>
      <c r="F396" s="7">
        <v>0.1</v>
      </c>
      <c r="G396" s="7">
        <v>5.5</v>
      </c>
      <c r="H396" s="7"/>
    </row>
    <row r="397" ht="15.3" spans="1:8">
      <c r="A397" s="7" t="s">
        <v>27</v>
      </c>
      <c r="B397" s="8">
        <v>45947</v>
      </c>
      <c r="C397" s="10">
        <v>12</v>
      </c>
      <c r="D397" s="7">
        <v>13.3</v>
      </c>
      <c r="E397" s="7" t="s">
        <v>17</v>
      </c>
      <c r="F397" s="7">
        <v>0.4</v>
      </c>
      <c r="G397" s="7">
        <v>5.07</v>
      </c>
      <c r="H397" s="7"/>
    </row>
    <row r="398" ht="15.3" hidden="1" spans="1:8">
      <c r="A398" s="7" t="s">
        <v>27</v>
      </c>
      <c r="B398" s="8">
        <v>45947</v>
      </c>
      <c r="C398" s="10">
        <v>13</v>
      </c>
      <c r="D398" s="7">
        <v>13.05</v>
      </c>
      <c r="E398" s="7" t="s">
        <v>17</v>
      </c>
      <c r="F398" s="7">
        <v>0.6</v>
      </c>
      <c r="G398" s="7">
        <v>4.49</v>
      </c>
      <c r="H398" s="7"/>
    </row>
    <row r="399" ht="15.3" spans="1:8">
      <c r="A399" s="7" t="s">
        <v>27</v>
      </c>
      <c r="B399" s="8">
        <v>45947</v>
      </c>
      <c r="C399" s="10">
        <v>14</v>
      </c>
      <c r="D399" s="7">
        <v>13.15</v>
      </c>
      <c r="E399" s="7" t="s">
        <v>17</v>
      </c>
      <c r="F399" s="7">
        <v>0.4</v>
      </c>
      <c r="G399" s="7">
        <v>5.39</v>
      </c>
      <c r="H399" s="7"/>
    </row>
    <row r="400" ht="15.3" hidden="1" spans="1:8">
      <c r="A400" s="7" t="s">
        <v>27</v>
      </c>
      <c r="B400" s="8">
        <v>45947</v>
      </c>
      <c r="C400" s="10">
        <v>15</v>
      </c>
      <c r="D400" s="7">
        <v>13.8</v>
      </c>
      <c r="E400" s="7" t="s">
        <v>17</v>
      </c>
      <c r="F400" s="7">
        <v>0.4</v>
      </c>
      <c r="G400" s="7">
        <v>9.14</v>
      </c>
      <c r="H400" s="7"/>
    </row>
    <row r="401" ht="15.3" spans="1:8">
      <c r="A401" s="7" t="s">
        <v>27</v>
      </c>
      <c r="B401" s="8">
        <v>45947</v>
      </c>
      <c r="C401" s="10">
        <v>16</v>
      </c>
      <c r="D401" s="7">
        <v>14.1</v>
      </c>
      <c r="E401" s="7" t="s">
        <v>17</v>
      </c>
      <c r="F401" s="7">
        <v>0.6</v>
      </c>
      <c r="G401" s="7">
        <v>10.34</v>
      </c>
      <c r="H401" s="7"/>
    </row>
    <row r="402" ht="15.3" hidden="1" spans="1:8">
      <c r="A402" s="7" t="s">
        <v>27</v>
      </c>
      <c r="B402" s="8">
        <v>45947</v>
      </c>
      <c r="C402" s="10">
        <v>17</v>
      </c>
      <c r="D402" s="7">
        <v>14.6</v>
      </c>
      <c r="E402" s="7" t="s">
        <v>17</v>
      </c>
      <c r="F402" s="7">
        <v>0.6</v>
      </c>
      <c r="G402" s="7">
        <v>11.75</v>
      </c>
      <c r="H402" s="7"/>
    </row>
    <row r="403" ht="15.3" spans="1:8">
      <c r="A403" s="7" t="s">
        <v>27</v>
      </c>
      <c r="B403" s="8">
        <v>45947</v>
      </c>
      <c r="C403" s="10">
        <v>18</v>
      </c>
      <c r="D403" s="7">
        <v>14.45</v>
      </c>
      <c r="E403" s="7" t="s">
        <v>16</v>
      </c>
      <c r="F403" s="7">
        <v>0.3</v>
      </c>
      <c r="G403" s="7">
        <v>11.69</v>
      </c>
      <c r="H403" s="7"/>
    </row>
    <row r="404" ht="15.3" hidden="1" spans="1:8">
      <c r="A404" s="7" t="s">
        <v>27</v>
      </c>
      <c r="B404" s="8">
        <v>45947</v>
      </c>
      <c r="C404" s="10">
        <v>19</v>
      </c>
      <c r="D404" s="7">
        <v>14.25</v>
      </c>
      <c r="E404" s="7" t="s">
        <v>16</v>
      </c>
      <c r="F404" s="7">
        <v>0.1</v>
      </c>
      <c r="G404" s="7">
        <v>11.71</v>
      </c>
      <c r="H404" s="7"/>
    </row>
    <row r="405" ht="15.3" spans="1:8">
      <c r="A405" s="7" t="s">
        <v>27</v>
      </c>
      <c r="B405" s="8">
        <v>45947</v>
      </c>
      <c r="C405" s="10">
        <v>20</v>
      </c>
      <c r="D405" s="7">
        <v>14.15</v>
      </c>
      <c r="E405" s="7" t="s">
        <v>16</v>
      </c>
      <c r="F405" s="7">
        <v>0</v>
      </c>
      <c r="G405" s="7">
        <v>11.77</v>
      </c>
      <c r="H405" s="7"/>
    </row>
    <row r="406" ht="15.3" hidden="1" spans="1:8">
      <c r="A406" s="7" t="s">
        <v>27</v>
      </c>
      <c r="B406" s="8">
        <v>45947</v>
      </c>
      <c r="C406" s="10">
        <v>21</v>
      </c>
      <c r="D406" s="7">
        <v>14.3</v>
      </c>
      <c r="E406" s="7" t="s">
        <v>16</v>
      </c>
      <c r="F406" s="7">
        <v>0</v>
      </c>
      <c r="G406" s="7">
        <v>11.19</v>
      </c>
      <c r="H406" s="7"/>
    </row>
    <row r="407" ht="15.3" spans="1:8">
      <c r="A407" s="7" t="s">
        <v>27</v>
      </c>
      <c r="B407" s="8">
        <v>45947</v>
      </c>
      <c r="C407" s="10">
        <v>22</v>
      </c>
      <c r="D407" s="7">
        <v>14.05</v>
      </c>
      <c r="E407" s="7" t="s">
        <v>16</v>
      </c>
      <c r="F407" s="7">
        <v>0</v>
      </c>
      <c r="G407" s="7">
        <v>11.69</v>
      </c>
      <c r="H407" s="7"/>
    </row>
    <row r="408" ht="15.3" hidden="1" spans="1:8">
      <c r="A408" s="7" t="s">
        <v>27</v>
      </c>
      <c r="B408" s="8">
        <v>45947</v>
      </c>
      <c r="C408" s="10">
        <v>23</v>
      </c>
      <c r="D408" s="7">
        <v>13.2</v>
      </c>
      <c r="E408" s="7" t="s">
        <v>16</v>
      </c>
      <c r="F408" s="7">
        <v>0</v>
      </c>
      <c r="G408" s="7">
        <v>13.41</v>
      </c>
      <c r="H408" s="7"/>
    </row>
    <row r="409" ht="15.3" spans="1:8">
      <c r="A409" s="7" t="s">
        <v>27</v>
      </c>
      <c r="B409" s="8">
        <v>45947</v>
      </c>
      <c r="C409" s="10">
        <v>24</v>
      </c>
      <c r="D409" s="7">
        <v>12</v>
      </c>
      <c r="E409" s="7" t="s">
        <v>16</v>
      </c>
      <c r="F409" s="7">
        <v>0</v>
      </c>
      <c r="G409" s="7">
        <v>13.74</v>
      </c>
      <c r="H409" s="7"/>
    </row>
    <row r="410" ht="15.3" hidden="1" spans="1:8">
      <c r="A410" s="7" t="s">
        <v>27</v>
      </c>
      <c r="B410" s="8">
        <v>45948</v>
      </c>
      <c r="C410" s="10">
        <v>1</v>
      </c>
      <c r="D410" s="7">
        <v>11.1</v>
      </c>
      <c r="E410" s="7" t="s">
        <v>16</v>
      </c>
      <c r="F410" s="7">
        <v>0</v>
      </c>
      <c r="G410" s="7">
        <v>13.19</v>
      </c>
      <c r="H410" s="7"/>
    </row>
    <row r="411" ht="15.3" spans="1:8">
      <c r="A411" s="7" t="s">
        <v>27</v>
      </c>
      <c r="B411" s="8">
        <v>45948</v>
      </c>
      <c r="C411" s="10">
        <v>2</v>
      </c>
      <c r="D411" s="7">
        <v>10.4</v>
      </c>
      <c r="E411" s="7" t="s">
        <v>16</v>
      </c>
      <c r="F411" s="7">
        <v>0</v>
      </c>
      <c r="G411" s="7">
        <v>13.25</v>
      </c>
      <c r="H411" s="7"/>
    </row>
    <row r="412" ht="15.3" hidden="1" spans="1:8">
      <c r="A412" s="7" t="s">
        <v>27</v>
      </c>
      <c r="B412" s="8">
        <v>45948</v>
      </c>
      <c r="C412" s="10">
        <v>3</v>
      </c>
      <c r="D412" s="7">
        <v>10.05</v>
      </c>
      <c r="E412" s="7" t="s">
        <v>16</v>
      </c>
      <c r="F412" s="7">
        <v>0</v>
      </c>
      <c r="G412" s="7">
        <v>12.85</v>
      </c>
      <c r="H412" s="7"/>
    </row>
    <row r="413" ht="15.3" spans="1:8">
      <c r="A413" s="7" t="s">
        <v>27</v>
      </c>
      <c r="B413" s="8">
        <v>45948</v>
      </c>
      <c r="C413" s="10">
        <v>4</v>
      </c>
      <c r="D413" s="7">
        <v>9.7</v>
      </c>
      <c r="E413" s="7" t="s">
        <v>16</v>
      </c>
      <c r="F413" s="7">
        <v>0</v>
      </c>
      <c r="G413" s="7">
        <v>12.93</v>
      </c>
      <c r="H413" s="7"/>
    </row>
    <row r="414" ht="15.3" hidden="1" spans="1:8">
      <c r="A414" s="7" t="s">
        <v>27</v>
      </c>
      <c r="B414" s="8">
        <v>45948</v>
      </c>
      <c r="C414" s="10">
        <v>5</v>
      </c>
      <c r="D414" s="7">
        <v>9.2</v>
      </c>
      <c r="E414" s="7" t="s">
        <v>16</v>
      </c>
      <c r="F414" s="7">
        <v>0</v>
      </c>
      <c r="G414" s="7">
        <v>12.95</v>
      </c>
      <c r="H414" s="7"/>
    </row>
    <row r="415" ht="15.3" spans="1:8">
      <c r="A415" s="7" t="s">
        <v>27</v>
      </c>
      <c r="B415" s="8">
        <v>45948</v>
      </c>
      <c r="C415" s="10">
        <v>6</v>
      </c>
      <c r="D415" s="7">
        <v>8.85</v>
      </c>
      <c r="E415" s="7" t="s">
        <v>16</v>
      </c>
      <c r="F415" s="7">
        <v>0</v>
      </c>
      <c r="G415" s="7">
        <v>12.84</v>
      </c>
      <c r="H415" s="7"/>
    </row>
    <row r="416" ht="15.3" hidden="1" spans="1:8">
      <c r="A416" s="7" t="s">
        <v>27</v>
      </c>
      <c r="B416" s="8">
        <v>45948</v>
      </c>
      <c r="C416" s="10">
        <v>7</v>
      </c>
      <c r="D416" s="7">
        <v>8.45</v>
      </c>
      <c r="E416" s="7" t="s">
        <v>16</v>
      </c>
      <c r="F416" s="7">
        <v>0</v>
      </c>
      <c r="G416" s="7">
        <v>12.55</v>
      </c>
      <c r="H416" s="7"/>
    </row>
    <row r="417" ht="15.3" spans="1:8">
      <c r="A417" s="7" t="s">
        <v>27</v>
      </c>
      <c r="B417" s="8">
        <v>45948</v>
      </c>
      <c r="C417" s="10">
        <v>8</v>
      </c>
      <c r="D417" s="7">
        <v>8.15</v>
      </c>
      <c r="E417" s="7" t="s">
        <v>16</v>
      </c>
      <c r="F417" s="7">
        <v>0</v>
      </c>
      <c r="G417" s="7">
        <v>12.32</v>
      </c>
      <c r="H417" s="7"/>
    </row>
    <row r="418" ht="15.3" hidden="1" spans="1:8">
      <c r="A418" s="7" t="s">
        <v>27</v>
      </c>
      <c r="B418" s="8">
        <v>45948</v>
      </c>
      <c r="C418" s="10">
        <v>9</v>
      </c>
      <c r="D418" s="7">
        <v>7.6</v>
      </c>
      <c r="E418" s="7" t="s">
        <v>16</v>
      </c>
      <c r="F418" s="7">
        <v>0</v>
      </c>
      <c r="G418" s="7">
        <v>10.92</v>
      </c>
      <c r="H418" s="7"/>
    </row>
    <row r="419" ht="15.3" spans="1:8">
      <c r="A419" s="7" t="s">
        <v>27</v>
      </c>
      <c r="B419" s="8">
        <v>45948</v>
      </c>
      <c r="C419" s="10">
        <v>10</v>
      </c>
      <c r="D419" s="7">
        <v>7.8</v>
      </c>
      <c r="E419" s="7" t="s">
        <v>16</v>
      </c>
      <c r="F419" s="7">
        <v>0</v>
      </c>
      <c r="G419" s="7">
        <v>10.13</v>
      </c>
      <c r="H419" s="7"/>
    </row>
    <row r="420" ht="15.3" hidden="1" spans="1:8">
      <c r="A420" s="7" t="s">
        <v>27</v>
      </c>
      <c r="B420" s="8">
        <v>45948</v>
      </c>
      <c r="C420" s="10">
        <v>11</v>
      </c>
      <c r="D420" s="7">
        <v>8.05</v>
      </c>
      <c r="E420" s="7" t="s">
        <v>16</v>
      </c>
      <c r="F420" s="7">
        <v>0</v>
      </c>
      <c r="G420" s="7">
        <v>10.22</v>
      </c>
      <c r="H420" s="7"/>
    </row>
    <row r="421" ht="15.3" spans="1:8">
      <c r="A421" s="7" t="s">
        <v>27</v>
      </c>
      <c r="B421" s="8">
        <v>45948</v>
      </c>
      <c r="C421" s="10">
        <v>12</v>
      </c>
      <c r="D421" s="7">
        <v>8.65</v>
      </c>
      <c r="E421" s="7" t="s">
        <v>16</v>
      </c>
      <c r="F421" s="7">
        <v>0</v>
      </c>
      <c r="G421" s="7">
        <v>9.86</v>
      </c>
      <c r="H421" s="7"/>
    </row>
    <row r="422" ht="15.3" hidden="1" spans="1:8">
      <c r="A422" s="7" t="s">
        <v>27</v>
      </c>
      <c r="B422" s="8">
        <v>45948</v>
      </c>
      <c r="C422" s="10">
        <v>13</v>
      </c>
      <c r="D422" s="7">
        <v>8.9</v>
      </c>
      <c r="E422" s="7" t="s">
        <v>16</v>
      </c>
      <c r="F422" s="7">
        <v>0</v>
      </c>
      <c r="G422" s="7">
        <v>9.56</v>
      </c>
      <c r="H422" s="7"/>
    </row>
    <row r="423" ht="15.3" spans="1:8">
      <c r="A423" s="7" t="s">
        <v>27</v>
      </c>
      <c r="B423" s="8">
        <v>45948</v>
      </c>
      <c r="C423" s="10">
        <v>14</v>
      </c>
      <c r="D423" s="7">
        <v>9.1</v>
      </c>
      <c r="E423" s="7" t="s">
        <v>16</v>
      </c>
      <c r="F423" s="7">
        <v>0</v>
      </c>
      <c r="G423" s="7">
        <v>8.44</v>
      </c>
      <c r="H423" s="7"/>
    </row>
    <row r="424" ht="15.3" hidden="1" spans="1:8">
      <c r="A424" s="7" t="s">
        <v>27</v>
      </c>
      <c r="B424" s="8">
        <v>45948</v>
      </c>
      <c r="C424" s="10">
        <v>15</v>
      </c>
      <c r="D424" s="7">
        <v>9.45</v>
      </c>
      <c r="E424" s="7" t="s">
        <v>16</v>
      </c>
      <c r="F424" s="7">
        <v>0</v>
      </c>
      <c r="G424" s="7">
        <v>7.68</v>
      </c>
      <c r="H424" s="7"/>
    </row>
    <row r="425" ht="15.3" spans="1:8">
      <c r="A425" s="7" t="s">
        <v>27</v>
      </c>
      <c r="B425" s="8">
        <v>45948</v>
      </c>
      <c r="C425" s="10">
        <v>16</v>
      </c>
      <c r="D425" s="7">
        <v>9.8</v>
      </c>
      <c r="E425" s="7" t="s">
        <v>16</v>
      </c>
      <c r="F425" s="7">
        <v>0</v>
      </c>
      <c r="G425" s="7">
        <v>6.93</v>
      </c>
      <c r="H425" s="7"/>
    </row>
    <row r="426" ht="15.3" hidden="1" spans="1:8">
      <c r="A426" s="7" t="s">
        <v>27</v>
      </c>
      <c r="B426" s="8">
        <v>45948</v>
      </c>
      <c r="C426" s="10">
        <v>17</v>
      </c>
      <c r="D426" s="7">
        <v>10.15</v>
      </c>
      <c r="E426" s="7" t="s">
        <v>16</v>
      </c>
      <c r="F426" s="7">
        <v>0</v>
      </c>
      <c r="G426" s="7">
        <v>6.4</v>
      </c>
      <c r="H426" s="7"/>
    </row>
    <row r="427" ht="15.3" spans="1:8">
      <c r="A427" s="7" t="s">
        <v>27</v>
      </c>
      <c r="B427" s="8">
        <v>45948</v>
      </c>
      <c r="C427" s="10">
        <v>18</v>
      </c>
      <c r="D427" s="7">
        <v>10.4</v>
      </c>
      <c r="E427" s="7" t="s">
        <v>16</v>
      </c>
      <c r="F427" s="7">
        <v>0</v>
      </c>
      <c r="G427" s="7">
        <v>5.82</v>
      </c>
      <c r="H427" s="7"/>
    </row>
    <row r="428" ht="15.3" hidden="1" spans="1:8">
      <c r="A428" s="7" t="s">
        <v>27</v>
      </c>
      <c r="B428" s="8">
        <v>45948</v>
      </c>
      <c r="C428" s="10">
        <v>19</v>
      </c>
      <c r="D428" s="7">
        <v>10.55</v>
      </c>
      <c r="E428" s="7" t="s">
        <v>16</v>
      </c>
      <c r="F428" s="7">
        <v>0</v>
      </c>
      <c r="G428" s="7">
        <v>4.97</v>
      </c>
      <c r="H428" s="7"/>
    </row>
    <row r="429" ht="15.3" spans="1:8">
      <c r="A429" s="7" t="s">
        <v>27</v>
      </c>
      <c r="B429" s="8">
        <v>45948</v>
      </c>
      <c r="C429" s="10">
        <v>20</v>
      </c>
      <c r="D429" s="7">
        <v>10.65</v>
      </c>
      <c r="E429" s="7" t="s">
        <v>16</v>
      </c>
      <c r="F429" s="7">
        <v>0</v>
      </c>
      <c r="G429" s="7">
        <v>4.52</v>
      </c>
      <c r="H429" s="7"/>
    </row>
    <row r="430" ht="15.3" hidden="1" spans="1:8">
      <c r="A430" s="7" t="s">
        <v>27</v>
      </c>
      <c r="B430" s="8">
        <v>45948</v>
      </c>
      <c r="C430" s="10">
        <v>21</v>
      </c>
      <c r="D430" s="7">
        <v>10.5</v>
      </c>
      <c r="E430" s="7" t="s">
        <v>16</v>
      </c>
      <c r="F430" s="7">
        <v>0</v>
      </c>
      <c r="G430" s="7">
        <v>4.2</v>
      </c>
      <c r="H430" s="7"/>
    </row>
    <row r="431" ht="15.3" spans="1:8">
      <c r="A431" s="7" t="s">
        <v>27</v>
      </c>
      <c r="B431" s="8">
        <v>45948</v>
      </c>
      <c r="C431" s="10">
        <v>22</v>
      </c>
      <c r="D431" s="7">
        <v>10.6</v>
      </c>
      <c r="E431" s="7" t="s">
        <v>16</v>
      </c>
      <c r="F431" s="7">
        <v>0</v>
      </c>
      <c r="G431" s="7">
        <v>4.16</v>
      </c>
      <c r="H431" s="7"/>
    </row>
    <row r="432" ht="15.3" hidden="1" spans="1:8">
      <c r="A432" s="7" t="s">
        <v>27</v>
      </c>
      <c r="B432" s="8">
        <v>45948</v>
      </c>
      <c r="C432" s="10">
        <v>23</v>
      </c>
      <c r="D432" s="7">
        <v>10.6</v>
      </c>
      <c r="E432" s="7" t="s">
        <v>16</v>
      </c>
      <c r="F432" s="7">
        <v>0</v>
      </c>
      <c r="G432" s="7">
        <v>4.05</v>
      </c>
      <c r="H432" s="7"/>
    </row>
    <row r="433" ht="15.3" spans="1:8">
      <c r="A433" s="7" t="s">
        <v>27</v>
      </c>
      <c r="B433" s="8">
        <v>45948</v>
      </c>
      <c r="C433" s="10">
        <v>24</v>
      </c>
      <c r="D433" s="7">
        <v>10.65</v>
      </c>
      <c r="E433" s="7" t="s">
        <v>16</v>
      </c>
      <c r="F433" s="7">
        <v>0</v>
      </c>
      <c r="G433" s="7">
        <v>4.67</v>
      </c>
      <c r="H433" s="7"/>
    </row>
    <row r="434" ht="15.3" hidden="1" spans="1:8">
      <c r="A434" s="7" t="s">
        <v>27</v>
      </c>
      <c r="B434" s="8">
        <v>45949</v>
      </c>
      <c r="C434" s="10">
        <v>1</v>
      </c>
      <c r="D434" s="7">
        <v>10.6</v>
      </c>
      <c r="E434" s="7" t="s">
        <v>16</v>
      </c>
      <c r="F434" s="7">
        <v>0</v>
      </c>
      <c r="G434" s="7">
        <v>4.65</v>
      </c>
      <c r="H434" s="7"/>
    </row>
    <row r="435" ht="15.3" spans="1:8">
      <c r="A435" s="7" t="s">
        <v>27</v>
      </c>
      <c r="B435" s="8">
        <v>45949</v>
      </c>
      <c r="C435" s="10">
        <v>2</v>
      </c>
      <c r="D435" s="7">
        <v>10.6</v>
      </c>
      <c r="E435" s="7" t="s">
        <v>16</v>
      </c>
      <c r="F435" s="7">
        <v>0</v>
      </c>
      <c r="G435" s="7">
        <v>4.83</v>
      </c>
      <c r="H435" s="7"/>
    </row>
    <row r="436" ht="15.3" hidden="1" spans="1:8">
      <c r="A436" s="7" t="s">
        <v>27</v>
      </c>
      <c r="B436" s="8">
        <v>45949</v>
      </c>
      <c r="C436" s="10">
        <v>3</v>
      </c>
      <c r="D436" s="7">
        <v>10.45</v>
      </c>
      <c r="E436" s="7" t="s">
        <v>16</v>
      </c>
      <c r="F436" s="7">
        <v>0</v>
      </c>
      <c r="G436" s="7">
        <v>4.91</v>
      </c>
      <c r="H436" s="7"/>
    </row>
    <row r="437" ht="15.3" spans="1:8">
      <c r="A437" s="7" t="s">
        <v>27</v>
      </c>
      <c r="B437" s="8">
        <v>45949</v>
      </c>
      <c r="C437" s="10">
        <v>4</v>
      </c>
      <c r="D437" s="7">
        <v>10.4</v>
      </c>
      <c r="E437" s="7" t="s">
        <v>16</v>
      </c>
      <c r="F437" s="7">
        <v>0</v>
      </c>
      <c r="G437" s="7">
        <v>6.25</v>
      </c>
      <c r="H437" s="7"/>
    </row>
    <row r="438" ht="15.3" hidden="1" spans="1:8">
      <c r="A438" s="7" t="s">
        <v>27</v>
      </c>
      <c r="B438" s="8">
        <v>45949</v>
      </c>
      <c r="C438" s="10">
        <v>5</v>
      </c>
      <c r="D438" s="7">
        <v>10.3</v>
      </c>
      <c r="E438" s="7" t="s">
        <v>16</v>
      </c>
      <c r="F438" s="7">
        <v>0</v>
      </c>
      <c r="G438" s="7">
        <v>6.55</v>
      </c>
      <c r="H438" s="7"/>
    </row>
    <row r="439" ht="15.3" spans="1:8">
      <c r="A439" s="7" t="s">
        <v>27</v>
      </c>
      <c r="B439" s="8">
        <v>45949</v>
      </c>
      <c r="C439" s="10">
        <v>6</v>
      </c>
      <c r="D439" s="7">
        <v>10.45</v>
      </c>
      <c r="E439" s="7" t="s">
        <v>16</v>
      </c>
      <c r="F439" s="7">
        <v>0</v>
      </c>
      <c r="G439" s="7">
        <v>6.17</v>
      </c>
      <c r="H439" s="7"/>
    </row>
    <row r="440" ht="15.3" hidden="1" spans="1:8">
      <c r="A440" s="7" t="s">
        <v>27</v>
      </c>
      <c r="B440" s="8">
        <v>45949</v>
      </c>
      <c r="C440" s="10">
        <v>7</v>
      </c>
      <c r="D440" s="7">
        <v>10.4</v>
      </c>
      <c r="E440" s="7" t="s">
        <v>16</v>
      </c>
      <c r="F440" s="7">
        <v>0</v>
      </c>
      <c r="G440" s="7">
        <v>6.96</v>
      </c>
      <c r="H440" s="7"/>
    </row>
    <row r="441" ht="15.3" spans="1:8">
      <c r="A441" s="7" t="s">
        <v>27</v>
      </c>
      <c r="B441" s="8">
        <v>45949</v>
      </c>
      <c r="C441" s="10">
        <v>8</v>
      </c>
      <c r="D441" s="7">
        <v>10.35</v>
      </c>
      <c r="E441" s="7" t="s">
        <v>16</v>
      </c>
      <c r="F441" s="7">
        <v>0</v>
      </c>
      <c r="G441" s="7">
        <v>7.84</v>
      </c>
      <c r="H441" s="7"/>
    </row>
    <row r="442" ht="15.3" hidden="1" spans="1:8">
      <c r="A442" s="7" t="s">
        <v>27</v>
      </c>
      <c r="B442" s="8">
        <v>45949</v>
      </c>
      <c r="C442" s="10">
        <v>9</v>
      </c>
      <c r="D442" s="7">
        <v>10.1</v>
      </c>
      <c r="E442" s="7" t="s">
        <v>16</v>
      </c>
      <c r="F442" s="7">
        <v>0</v>
      </c>
      <c r="G442" s="7">
        <v>8.01</v>
      </c>
      <c r="H442" s="7"/>
    </row>
    <row r="443" ht="15.3" spans="1:8">
      <c r="A443" s="7" t="s">
        <v>27</v>
      </c>
      <c r="B443" s="8">
        <v>45949</v>
      </c>
      <c r="C443" s="10">
        <v>10</v>
      </c>
      <c r="D443" s="7">
        <v>10.05</v>
      </c>
      <c r="E443" s="7" t="s">
        <v>16</v>
      </c>
      <c r="F443" s="7">
        <v>0</v>
      </c>
      <c r="G443" s="7">
        <v>7.74</v>
      </c>
      <c r="H443" s="7"/>
    </row>
    <row r="444" ht="15.3" hidden="1" spans="1:8">
      <c r="A444" s="7" t="s">
        <v>27</v>
      </c>
      <c r="B444" s="8">
        <v>45949</v>
      </c>
      <c r="C444" s="10">
        <v>11</v>
      </c>
      <c r="D444" s="7">
        <v>10.05</v>
      </c>
      <c r="E444" s="7" t="s">
        <v>16</v>
      </c>
      <c r="F444" s="7">
        <v>0</v>
      </c>
      <c r="G444" s="7">
        <v>6.32</v>
      </c>
      <c r="H444" s="7"/>
    </row>
    <row r="445" ht="15.3" spans="1:8">
      <c r="A445" s="7" t="s">
        <v>27</v>
      </c>
      <c r="B445" s="8">
        <v>45949</v>
      </c>
      <c r="C445" s="10">
        <v>12</v>
      </c>
      <c r="D445" s="7">
        <v>10.4</v>
      </c>
      <c r="E445" s="7" t="s">
        <v>16</v>
      </c>
      <c r="F445" s="7">
        <v>0</v>
      </c>
      <c r="G445" s="7">
        <v>6.36</v>
      </c>
      <c r="H445" s="7"/>
    </row>
    <row r="446" ht="15.3" hidden="1" spans="1:8">
      <c r="A446" s="7" t="s">
        <v>27</v>
      </c>
      <c r="B446" s="8">
        <v>45949</v>
      </c>
      <c r="C446" s="10">
        <v>13</v>
      </c>
      <c r="D446" s="7">
        <v>10.15</v>
      </c>
      <c r="E446" s="7" t="s">
        <v>16</v>
      </c>
      <c r="F446" s="7">
        <v>0</v>
      </c>
      <c r="G446" s="7">
        <v>6.68</v>
      </c>
      <c r="H446" s="7"/>
    </row>
    <row r="447" ht="15.3" spans="1:8">
      <c r="A447" s="7" t="s">
        <v>27</v>
      </c>
      <c r="B447" s="8">
        <v>45949</v>
      </c>
      <c r="C447" s="10">
        <v>14</v>
      </c>
      <c r="D447" s="7">
        <v>10</v>
      </c>
      <c r="E447" s="7" t="s">
        <v>16</v>
      </c>
      <c r="F447" s="7">
        <v>0</v>
      </c>
      <c r="G447" s="7">
        <v>5.81</v>
      </c>
      <c r="H447" s="7"/>
    </row>
    <row r="448" ht="15.3" hidden="1" spans="1:8">
      <c r="A448" s="7" t="s">
        <v>27</v>
      </c>
      <c r="B448" s="8">
        <v>45949</v>
      </c>
      <c r="C448" s="10">
        <v>15</v>
      </c>
      <c r="D448" s="7">
        <v>10.25</v>
      </c>
      <c r="E448" s="7" t="s">
        <v>16</v>
      </c>
      <c r="F448" s="7">
        <v>0</v>
      </c>
      <c r="G448" s="7">
        <v>4.96</v>
      </c>
      <c r="H448" s="7"/>
    </row>
    <row r="449" ht="15.3" spans="1:8">
      <c r="A449" s="7" t="s">
        <v>27</v>
      </c>
      <c r="B449" s="8">
        <v>45949</v>
      </c>
      <c r="C449" s="10">
        <v>16</v>
      </c>
      <c r="D449" s="7">
        <v>10.6</v>
      </c>
      <c r="E449" s="7" t="s">
        <v>16</v>
      </c>
      <c r="F449" s="7">
        <v>0</v>
      </c>
      <c r="G449" s="7">
        <v>3.81</v>
      </c>
      <c r="H449" s="7"/>
    </row>
    <row r="450" ht="15.3" hidden="1" spans="1:8">
      <c r="A450" s="7" t="s">
        <v>27</v>
      </c>
      <c r="B450" s="8">
        <v>45949</v>
      </c>
      <c r="C450" s="10">
        <v>17</v>
      </c>
      <c r="D450" s="7">
        <v>10.9</v>
      </c>
      <c r="E450" s="7" t="s">
        <v>16</v>
      </c>
      <c r="F450" s="7">
        <v>0</v>
      </c>
      <c r="G450" s="7">
        <v>3.97</v>
      </c>
      <c r="H450" s="7"/>
    </row>
    <row r="451" ht="15.3" spans="1:8">
      <c r="A451" s="7" t="s">
        <v>27</v>
      </c>
      <c r="B451" s="8">
        <v>45949</v>
      </c>
      <c r="C451" s="10">
        <v>18</v>
      </c>
      <c r="D451" s="7">
        <v>11.1</v>
      </c>
      <c r="E451" s="7" t="s">
        <v>16</v>
      </c>
      <c r="F451" s="7">
        <v>0</v>
      </c>
      <c r="G451" s="7">
        <v>4.05</v>
      </c>
      <c r="H451" s="7"/>
    </row>
    <row r="452" ht="15.3" hidden="1" spans="1:8">
      <c r="A452" s="7" t="s">
        <v>27</v>
      </c>
      <c r="B452" s="8">
        <v>45949</v>
      </c>
      <c r="C452" s="10">
        <v>19</v>
      </c>
      <c r="D452" s="7">
        <v>11.2</v>
      </c>
      <c r="E452" s="7" t="s">
        <v>16</v>
      </c>
      <c r="F452" s="7">
        <v>0</v>
      </c>
      <c r="G452" s="7">
        <v>4.65</v>
      </c>
      <c r="H452" s="7"/>
    </row>
    <row r="453" ht="15.3" spans="1:8">
      <c r="A453" s="7" t="s">
        <v>27</v>
      </c>
      <c r="B453" s="8">
        <v>45949</v>
      </c>
      <c r="C453" s="10">
        <v>20</v>
      </c>
      <c r="D453" s="7">
        <v>11.1</v>
      </c>
      <c r="E453" s="7" t="s">
        <v>16</v>
      </c>
      <c r="F453" s="7">
        <v>0</v>
      </c>
      <c r="G453" s="7">
        <v>5.25</v>
      </c>
      <c r="H453" s="7"/>
    </row>
    <row r="454" ht="15.3" hidden="1" spans="1:8">
      <c r="A454" s="7" t="s">
        <v>27</v>
      </c>
      <c r="B454" s="8">
        <v>45949</v>
      </c>
      <c r="C454" s="10">
        <v>21</v>
      </c>
      <c r="D454" s="7">
        <v>10.6</v>
      </c>
      <c r="E454" s="7" t="s">
        <v>16</v>
      </c>
      <c r="F454" s="7">
        <v>0</v>
      </c>
      <c r="G454" s="7">
        <v>6.26</v>
      </c>
      <c r="H454" s="7"/>
    </row>
    <row r="455" ht="15.3" spans="1:8">
      <c r="A455" s="7" t="s">
        <v>27</v>
      </c>
      <c r="B455" s="8">
        <v>45949</v>
      </c>
      <c r="C455" s="10">
        <v>22</v>
      </c>
      <c r="D455" s="7">
        <v>10.65</v>
      </c>
      <c r="E455" s="7" t="s">
        <v>16</v>
      </c>
      <c r="F455" s="7">
        <v>0</v>
      </c>
      <c r="G455" s="7">
        <v>6.5</v>
      </c>
      <c r="H455" s="7"/>
    </row>
    <row r="456" ht="15.3" hidden="1" spans="1:8">
      <c r="A456" s="7" t="s">
        <v>27</v>
      </c>
      <c r="B456" s="8">
        <v>45949</v>
      </c>
      <c r="C456" s="10">
        <v>23</v>
      </c>
      <c r="D456" s="7">
        <v>10.5</v>
      </c>
      <c r="E456" s="7" t="s">
        <v>16</v>
      </c>
      <c r="F456" s="7">
        <v>0</v>
      </c>
      <c r="G456" s="7">
        <v>5.71</v>
      </c>
      <c r="H456" s="7"/>
    </row>
    <row r="457" ht="15.3" spans="1:8">
      <c r="A457" s="7" t="s">
        <v>27</v>
      </c>
      <c r="B457" s="8">
        <v>45949</v>
      </c>
      <c r="C457" s="10">
        <v>24</v>
      </c>
      <c r="D457" s="7">
        <v>10.3</v>
      </c>
      <c r="E457" s="7" t="s">
        <v>16</v>
      </c>
      <c r="F457" s="7">
        <v>0</v>
      </c>
      <c r="G457" s="7">
        <v>6.12</v>
      </c>
      <c r="H457" s="7"/>
    </row>
    <row r="458" ht="15.3" hidden="1" spans="1:8">
      <c r="A458" s="7" t="s">
        <v>27</v>
      </c>
      <c r="B458" s="8">
        <v>45950</v>
      </c>
      <c r="C458" s="10">
        <v>1</v>
      </c>
      <c r="D458" s="7">
        <v>10.5</v>
      </c>
      <c r="E458" s="7" t="s">
        <v>16</v>
      </c>
      <c r="F458" s="7">
        <v>0</v>
      </c>
      <c r="G458" s="7">
        <v>6.28</v>
      </c>
      <c r="H458" s="7"/>
    </row>
    <row r="459" ht="15.3" spans="1:8">
      <c r="A459" s="7" t="s">
        <v>27</v>
      </c>
      <c r="B459" s="8">
        <v>45950</v>
      </c>
      <c r="C459" s="10">
        <v>2</v>
      </c>
      <c r="D459" s="7">
        <v>10.5</v>
      </c>
      <c r="E459" s="7" t="s">
        <v>16</v>
      </c>
      <c r="F459" s="7">
        <v>0</v>
      </c>
      <c r="G459" s="7">
        <v>6.86</v>
      </c>
      <c r="H459" s="7"/>
    </row>
    <row r="460" ht="15.3" hidden="1" spans="1:8">
      <c r="A460" s="7" t="s">
        <v>27</v>
      </c>
      <c r="B460" s="8">
        <v>45950</v>
      </c>
      <c r="C460" s="10">
        <v>3</v>
      </c>
      <c r="D460" s="7">
        <v>10.4</v>
      </c>
      <c r="E460" s="7" t="s">
        <v>16</v>
      </c>
      <c r="F460" s="7">
        <v>0</v>
      </c>
      <c r="G460" s="7">
        <v>7.39</v>
      </c>
      <c r="H460" s="7"/>
    </row>
    <row r="461" ht="15.3" spans="1:8">
      <c r="A461" s="7" t="s">
        <v>27</v>
      </c>
      <c r="B461" s="8">
        <v>45950</v>
      </c>
      <c r="C461" s="10">
        <v>4</v>
      </c>
      <c r="D461" s="7">
        <v>10.3</v>
      </c>
      <c r="E461" s="7" t="s">
        <v>16</v>
      </c>
      <c r="F461" s="7">
        <v>0</v>
      </c>
      <c r="G461" s="7">
        <v>7.92</v>
      </c>
      <c r="H461" s="7"/>
    </row>
    <row r="462" ht="15.3" hidden="1" spans="1:8">
      <c r="A462" s="7" t="s">
        <v>27</v>
      </c>
      <c r="B462" s="8">
        <v>45950</v>
      </c>
      <c r="C462" s="10">
        <v>5</v>
      </c>
      <c r="D462" s="7">
        <v>9.9</v>
      </c>
      <c r="E462" s="7" t="s">
        <v>16</v>
      </c>
      <c r="F462" s="7">
        <v>0</v>
      </c>
      <c r="G462" s="7">
        <v>8.4</v>
      </c>
      <c r="H462" s="7"/>
    </row>
    <row r="463" ht="15.3" spans="1:8">
      <c r="A463" s="7" t="s">
        <v>27</v>
      </c>
      <c r="B463" s="8">
        <v>45950</v>
      </c>
      <c r="C463" s="10">
        <v>6</v>
      </c>
      <c r="D463" s="7">
        <v>9.55</v>
      </c>
      <c r="E463" s="7" t="s">
        <v>16</v>
      </c>
      <c r="F463" s="7">
        <v>0</v>
      </c>
      <c r="G463" s="7">
        <v>8.76</v>
      </c>
      <c r="H463" s="7"/>
    </row>
    <row r="464" ht="15.3" hidden="1" spans="1:8">
      <c r="A464" s="7" t="s">
        <v>27</v>
      </c>
      <c r="B464" s="8">
        <v>45950</v>
      </c>
      <c r="C464" s="10">
        <v>7</v>
      </c>
      <c r="D464" s="7">
        <v>9.2</v>
      </c>
      <c r="E464" s="7" t="s">
        <v>16</v>
      </c>
      <c r="F464" s="7">
        <v>0</v>
      </c>
      <c r="G464" s="7">
        <v>9.12</v>
      </c>
      <c r="H464" s="7"/>
    </row>
    <row r="465" ht="15.3" spans="1:8">
      <c r="A465" s="7" t="s">
        <v>27</v>
      </c>
      <c r="B465" s="8">
        <v>45950</v>
      </c>
      <c r="C465" s="10">
        <v>8</v>
      </c>
      <c r="D465" s="7">
        <v>8.85</v>
      </c>
      <c r="E465" s="7" t="s">
        <v>16</v>
      </c>
      <c r="F465" s="7">
        <v>0</v>
      </c>
      <c r="G465" s="7">
        <v>8.97</v>
      </c>
      <c r="H465" s="7"/>
    </row>
    <row r="466" ht="15.3" hidden="1" spans="1:8">
      <c r="A466" s="7" t="s">
        <v>27</v>
      </c>
      <c r="B466" s="8">
        <v>45950</v>
      </c>
      <c r="C466" s="10">
        <v>9</v>
      </c>
      <c r="D466" s="7">
        <v>9</v>
      </c>
      <c r="E466" s="7" t="s">
        <v>16</v>
      </c>
      <c r="F466" s="7">
        <v>0</v>
      </c>
      <c r="G466" s="7">
        <v>8.51</v>
      </c>
      <c r="H466" s="7"/>
    </row>
    <row r="467" ht="15.3" spans="1:8">
      <c r="A467" s="7" t="s">
        <v>27</v>
      </c>
      <c r="B467" s="8">
        <v>45950</v>
      </c>
      <c r="C467" s="10">
        <v>10</v>
      </c>
      <c r="D467" s="7">
        <v>8.95</v>
      </c>
      <c r="E467" s="7" t="s">
        <v>16</v>
      </c>
      <c r="F467" s="7">
        <v>0</v>
      </c>
      <c r="G467" s="7">
        <v>7.89</v>
      </c>
      <c r="H467" s="7"/>
    </row>
    <row r="468" ht="15.3" hidden="1" spans="1:8">
      <c r="A468" s="7" t="s">
        <v>27</v>
      </c>
      <c r="B468" s="8">
        <v>45950</v>
      </c>
      <c r="C468" s="10">
        <v>11</v>
      </c>
      <c r="D468" s="7">
        <v>8.9</v>
      </c>
      <c r="E468" s="7" t="s">
        <v>16</v>
      </c>
      <c r="F468" s="7">
        <v>0</v>
      </c>
      <c r="G468" s="7">
        <v>7.11</v>
      </c>
      <c r="H468" s="7"/>
    </row>
    <row r="469" ht="15.3" spans="1:8">
      <c r="A469" s="7" t="s">
        <v>27</v>
      </c>
      <c r="B469" s="8">
        <v>45950</v>
      </c>
      <c r="C469" s="10">
        <v>12</v>
      </c>
      <c r="D469" s="7">
        <v>8.9</v>
      </c>
      <c r="E469" s="7" t="s">
        <v>16</v>
      </c>
      <c r="F469" s="7">
        <v>0</v>
      </c>
      <c r="G469" s="7">
        <v>6.17</v>
      </c>
      <c r="H469" s="7"/>
    </row>
    <row r="470" ht="15.3" hidden="1" spans="1:8">
      <c r="A470" s="7" t="s">
        <v>27</v>
      </c>
      <c r="B470" s="8">
        <v>45950</v>
      </c>
      <c r="C470" s="10">
        <v>13</v>
      </c>
      <c r="D470" s="7">
        <v>8.85</v>
      </c>
      <c r="E470" s="7" t="s">
        <v>16</v>
      </c>
      <c r="F470" s="7">
        <v>0</v>
      </c>
      <c r="G470" s="7">
        <v>5.06</v>
      </c>
      <c r="H470" s="7"/>
    </row>
    <row r="471" ht="15.3" spans="1:8">
      <c r="A471" s="7" t="s">
        <v>27</v>
      </c>
      <c r="B471" s="8">
        <v>45950</v>
      </c>
      <c r="C471" s="10">
        <v>14</v>
      </c>
      <c r="D471" s="7">
        <v>8.85</v>
      </c>
      <c r="E471" s="7" t="s">
        <v>16</v>
      </c>
      <c r="F471" s="7">
        <v>0</v>
      </c>
      <c r="G471" s="7">
        <v>3.89</v>
      </c>
      <c r="H471" s="7"/>
    </row>
    <row r="472" ht="15.3" hidden="1" spans="1:8">
      <c r="A472" s="7" t="s">
        <v>27</v>
      </c>
      <c r="B472" s="8">
        <v>45950</v>
      </c>
      <c r="C472" s="10">
        <v>15</v>
      </c>
      <c r="D472" s="7">
        <v>8.95</v>
      </c>
      <c r="E472" s="7" t="s">
        <v>16</v>
      </c>
      <c r="F472" s="7">
        <v>0</v>
      </c>
      <c r="G472" s="7">
        <v>2.75</v>
      </c>
      <c r="H472" s="7"/>
    </row>
    <row r="473" ht="15.3" spans="1:8">
      <c r="A473" s="7" t="s">
        <v>27</v>
      </c>
      <c r="B473" s="8">
        <v>45950</v>
      </c>
      <c r="C473" s="10">
        <v>16</v>
      </c>
      <c r="D473" s="7">
        <v>8.95</v>
      </c>
      <c r="E473" s="7" t="s">
        <v>16</v>
      </c>
      <c r="F473" s="7">
        <v>0</v>
      </c>
      <c r="G473" s="7">
        <v>1.35</v>
      </c>
      <c r="H473" s="7"/>
    </row>
    <row r="474" ht="15.3" hidden="1" spans="1:8">
      <c r="A474" s="7" t="s">
        <v>27</v>
      </c>
      <c r="B474" s="8">
        <v>45950</v>
      </c>
      <c r="C474" s="10">
        <v>17</v>
      </c>
      <c r="D474" s="7">
        <v>9.05</v>
      </c>
      <c r="E474" s="7" t="s">
        <v>16</v>
      </c>
      <c r="F474" s="7">
        <v>0</v>
      </c>
      <c r="G474" s="7">
        <v>0.52</v>
      </c>
      <c r="H474" s="7"/>
    </row>
    <row r="475" ht="15.3" spans="1:8">
      <c r="A475" s="7" t="s">
        <v>27</v>
      </c>
      <c r="B475" s="8">
        <v>45950</v>
      </c>
      <c r="C475" s="10">
        <v>18</v>
      </c>
      <c r="D475" s="7">
        <v>9.25</v>
      </c>
      <c r="E475" s="7" t="s">
        <v>16</v>
      </c>
      <c r="F475" s="7">
        <v>0</v>
      </c>
      <c r="G475" s="7">
        <v>0.61</v>
      </c>
      <c r="H475" s="7"/>
    </row>
    <row r="476" ht="15.3" hidden="1" spans="1:8">
      <c r="A476" s="7" t="s">
        <v>27</v>
      </c>
      <c r="B476" s="8">
        <v>45950</v>
      </c>
      <c r="C476" s="10">
        <v>19</v>
      </c>
      <c r="D476" s="7">
        <v>9.5</v>
      </c>
      <c r="E476" s="7" t="s">
        <v>16</v>
      </c>
      <c r="F476" s="7">
        <v>0</v>
      </c>
      <c r="G476" s="7">
        <v>1.1</v>
      </c>
      <c r="H476" s="7"/>
    </row>
    <row r="477" ht="15.3" spans="1:8">
      <c r="A477" s="7" t="s">
        <v>27</v>
      </c>
      <c r="B477" s="8">
        <v>45950</v>
      </c>
      <c r="C477" s="10">
        <v>20</v>
      </c>
      <c r="D477" s="7">
        <v>9.85</v>
      </c>
      <c r="E477" s="7" t="s">
        <v>16</v>
      </c>
      <c r="F477" s="7">
        <v>0</v>
      </c>
      <c r="G477" s="7">
        <v>2.08</v>
      </c>
      <c r="H477" s="7"/>
    </row>
    <row r="478" ht="15.3" hidden="1" spans="1:8">
      <c r="A478" s="7" t="s">
        <v>27</v>
      </c>
      <c r="B478" s="8">
        <v>45950</v>
      </c>
      <c r="C478" s="10">
        <v>21</v>
      </c>
      <c r="D478" s="7">
        <v>10.15</v>
      </c>
      <c r="E478" s="7" t="s">
        <v>16</v>
      </c>
      <c r="F478" s="7">
        <v>0</v>
      </c>
      <c r="G478" s="7">
        <v>4.09</v>
      </c>
      <c r="H478" s="7"/>
    </row>
    <row r="479" ht="15.3" spans="1:8">
      <c r="A479" s="7" t="s">
        <v>27</v>
      </c>
      <c r="B479" s="8">
        <v>45950</v>
      </c>
      <c r="C479" s="10">
        <v>22</v>
      </c>
      <c r="D479" s="7">
        <v>10.15</v>
      </c>
      <c r="E479" s="7" t="s">
        <v>16</v>
      </c>
      <c r="F479" s="7">
        <v>0</v>
      </c>
      <c r="G479" s="7">
        <v>4.41</v>
      </c>
      <c r="H479" s="7"/>
    </row>
    <row r="480" ht="15.3" hidden="1" spans="1:8">
      <c r="A480" s="7" t="s">
        <v>27</v>
      </c>
      <c r="B480" s="8">
        <v>45950</v>
      </c>
      <c r="C480" s="10">
        <v>23</v>
      </c>
      <c r="D480" s="7">
        <v>10.15</v>
      </c>
      <c r="E480" s="7" t="s">
        <v>16</v>
      </c>
      <c r="F480" s="7">
        <v>0</v>
      </c>
      <c r="G480" s="7">
        <v>4.15</v>
      </c>
      <c r="H480" s="7"/>
    </row>
    <row r="481" ht="15.3" spans="1:8">
      <c r="A481" s="7" t="s">
        <v>27</v>
      </c>
      <c r="B481" s="8">
        <v>45950</v>
      </c>
      <c r="C481" s="10">
        <v>24</v>
      </c>
      <c r="D481" s="7">
        <v>10.15</v>
      </c>
      <c r="E481" s="7" t="s">
        <v>16</v>
      </c>
      <c r="F481" s="7">
        <v>0</v>
      </c>
      <c r="G481" s="7">
        <v>4.43</v>
      </c>
      <c r="H481" s="7"/>
    </row>
    <row r="482" ht="15.3" hidden="1" spans="1:8">
      <c r="A482" s="7" t="s">
        <v>27</v>
      </c>
      <c r="B482" s="8">
        <v>45951</v>
      </c>
      <c r="C482" s="10">
        <v>1</v>
      </c>
      <c r="D482" s="7">
        <v>10.15</v>
      </c>
      <c r="E482" s="7" t="s">
        <v>16</v>
      </c>
      <c r="F482" s="7">
        <v>0</v>
      </c>
      <c r="G482" s="7">
        <v>5.21</v>
      </c>
      <c r="H482" s="7"/>
    </row>
    <row r="483" ht="15.3" spans="1:8">
      <c r="A483" s="7" t="s">
        <v>27</v>
      </c>
      <c r="B483" s="8">
        <v>45951</v>
      </c>
      <c r="C483" s="10">
        <v>2</v>
      </c>
      <c r="D483" s="7">
        <v>10.1</v>
      </c>
      <c r="E483" s="7" t="s">
        <v>16</v>
      </c>
      <c r="F483" s="7">
        <v>0</v>
      </c>
      <c r="G483" s="7">
        <v>5.75</v>
      </c>
      <c r="H483" s="7"/>
    </row>
    <row r="484" ht="15.3" hidden="1" spans="1:8">
      <c r="A484" s="7" t="s">
        <v>27</v>
      </c>
      <c r="B484" s="8">
        <v>45951</v>
      </c>
      <c r="C484" s="10">
        <v>3</v>
      </c>
      <c r="D484" s="7">
        <v>9.9</v>
      </c>
      <c r="E484" s="7" t="s">
        <v>16</v>
      </c>
      <c r="F484" s="7">
        <v>0</v>
      </c>
      <c r="G484" s="7">
        <v>5.91</v>
      </c>
      <c r="H484" s="7"/>
    </row>
    <row r="485" ht="15.3" spans="1:8">
      <c r="A485" s="7" t="s">
        <v>27</v>
      </c>
      <c r="B485" s="8">
        <v>45951</v>
      </c>
      <c r="C485" s="10">
        <v>4</v>
      </c>
      <c r="D485" s="7">
        <v>9.8</v>
      </c>
      <c r="E485" s="7" t="s">
        <v>16</v>
      </c>
      <c r="F485" s="7">
        <v>0</v>
      </c>
      <c r="G485" s="7">
        <v>5.79</v>
      </c>
      <c r="H485" s="7"/>
    </row>
    <row r="486" ht="15.3" hidden="1" spans="1:8">
      <c r="A486" s="7" t="s">
        <v>27</v>
      </c>
      <c r="B486" s="8">
        <v>45951</v>
      </c>
      <c r="C486" s="10">
        <v>5</v>
      </c>
      <c r="D486" s="7">
        <v>9.85</v>
      </c>
      <c r="E486" s="7" t="s">
        <v>16</v>
      </c>
      <c r="F486" s="7">
        <v>0</v>
      </c>
      <c r="G486" s="7">
        <v>5.39</v>
      </c>
      <c r="H486" s="7"/>
    </row>
    <row r="487" ht="15.3" spans="1:8">
      <c r="A487" s="7" t="s">
        <v>27</v>
      </c>
      <c r="B487" s="8">
        <v>45951</v>
      </c>
      <c r="C487" s="10">
        <v>6</v>
      </c>
      <c r="D487" s="7">
        <v>9.45</v>
      </c>
      <c r="E487" s="7" t="s">
        <v>16</v>
      </c>
      <c r="F487" s="7">
        <v>0</v>
      </c>
      <c r="G487" s="7">
        <v>5.2</v>
      </c>
      <c r="H487" s="7"/>
    </row>
    <row r="488" ht="15.3" hidden="1" spans="1:8">
      <c r="A488" s="7" t="s">
        <v>27</v>
      </c>
      <c r="B488" s="8">
        <v>45951</v>
      </c>
      <c r="C488" s="10">
        <v>7</v>
      </c>
      <c r="D488" s="7">
        <v>8.7</v>
      </c>
      <c r="E488" s="7" t="s">
        <v>16</v>
      </c>
      <c r="F488" s="7">
        <v>0</v>
      </c>
      <c r="G488" s="7">
        <v>5.21</v>
      </c>
      <c r="H488" s="7"/>
    </row>
    <row r="489" ht="15.3" spans="1:8">
      <c r="A489" s="7" t="s">
        <v>27</v>
      </c>
      <c r="B489" s="8">
        <v>45951</v>
      </c>
      <c r="C489" s="10">
        <v>8</v>
      </c>
      <c r="D489" s="7">
        <v>8.7</v>
      </c>
      <c r="E489" s="7" t="s">
        <v>16</v>
      </c>
      <c r="F489" s="7">
        <v>0</v>
      </c>
      <c r="G489" s="7">
        <v>4.48</v>
      </c>
      <c r="H489" s="7"/>
    </row>
    <row r="490" ht="15.3" hidden="1" spans="1:8">
      <c r="A490" s="7" t="s">
        <v>27</v>
      </c>
      <c r="B490" s="8">
        <v>45951</v>
      </c>
      <c r="C490" s="10">
        <v>9</v>
      </c>
      <c r="D490" s="7">
        <v>9.4</v>
      </c>
      <c r="E490" s="7" t="s">
        <v>16</v>
      </c>
      <c r="F490" s="7">
        <v>0</v>
      </c>
      <c r="G490" s="7">
        <v>3.07</v>
      </c>
      <c r="H490" s="7"/>
    </row>
    <row r="491" ht="15.3" spans="1:8">
      <c r="A491" s="7" t="s">
        <v>27</v>
      </c>
      <c r="B491" s="8">
        <v>45951</v>
      </c>
      <c r="C491" s="10">
        <v>10</v>
      </c>
      <c r="D491" s="7">
        <v>9.7</v>
      </c>
      <c r="E491" s="7" t="s">
        <v>16</v>
      </c>
      <c r="F491" s="7">
        <v>0</v>
      </c>
      <c r="G491" s="7">
        <v>2.77</v>
      </c>
      <c r="H491" s="7"/>
    </row>
    <row r="492" ht="15.3" hidden="1" spans="1:8">
      <c r="A492" s="7" t="s">
        <v>27</v>
      </c>
      <c r="B492" s="8">
        <v>45951</v>
      </c>
      <c r="C492" s="10">
        <v>11</v>
      </c>
      <c r="D492" s="7">
        <v>9.95</v>
      </c>
      <c r="E492" s="7" t="s">
        <v>16</v>
      </c>
      <c r="F492" s="7">
        <v>0</v>
      </c>
      <c r="G492" s="7">
        <v>2.8</v>
      </c>
      <c r="H492" s="7"/>
    </row>
    <row r="493" ht="15.3" spans="1:8">
      <c r="A493" s="7" t="s">
        <v>27</v>
      </c>
      <c r="B493" s="8">
        <v>45951</v>
      </c>
      <c r="C493" s="10">
        <v>12</v>
      </c>
      <c r="D493" s="7">
        <v>10.3</v>
      </c>
      <c r="E493" s="7" t="s">
        <v>16</v>
      </c>
      <c r="F493" s="7">
        <v>0</v>
      </c>
      <c r="G493" s="7">
        <v>2.52</v>
      </c>
      <c r="H493" s="7"/>
    </row>
    <row r="494" ht="15.3" hidden="1" spans="1:8">
      <c r="A494" s="7" t="s">
        <v>27</v>
      </c>
      <c r="B494" s="8">
        <v>45951</v>
      </c>
      <c r="C494" s="10">
        <v>13</v>
      </c>
      <c r="D494" s="7">
        <v>10.7</v>
      </c>
      <c r="E494" s="7" t="s">
        <v>16</v>
      </c>
      <c r="F494" s="7">
        <v>0</v>
      </c>
      <c r="G494" s="7">
        <v>2.1</v>
      </c>
      <c r="H494" s="7"/>
    </row>
    <row r="495" ht="15.3" spans="1:8">
      <c r="A495" s="7" t="s">
        <v>27</v>
      </c>
      <c r="B495" s="8">
        <v>45951</v>
      </c>
      <c r="C495" s="10">
        <v>14</v>
      </c>
      <c r="D495" s="7">
        <v>10.9</v>
      </c>
      <c r="E495" s="7" t="s">
        <v>16</v>
      </c>
      <c r="F495" s="7">
        <v>0</v>
      </c>
      <c r="G495" s="7">
        <v>1.83</v>
      </c>
      <c r="H495" s="7"/>
    </row>
    <row r="496" ht="15.3" hidden="1" spans="1:8">
      <c r="A496" s="7" t="s">
        <v>27</v>
      </c>
      <c r="B496" s="8">
        <v>45951</v>
      </c>
      <c r="C496" s="10">
        <v>15</v>
      </c>
      <c r="D496" s="7">
        <v>11.15</v>
      </c>
      <c r="E496" s="7" t="s">
        <v>16</v>
      </c>
      <c r="F496" s="7">
        <v>0</v>
      </c>
      <c r="G496" s="7">
        <v>1.17</v>
      </c>
      <c r="H496" s="7"/>
    </row>
    <row r="497" ht="15.3" spans="1:8">
      <c r="A497" s="7" t="s">
        <v>27</v>
      </c>
      <c r="B497" s="8">
        <v>45951</v>
      </c>
      <c r="C497" s="10">
        <v>16</v>
      </c>
      <c r="D497" s="7">
        <v>11.2</v>
      </c>
      <c r="E497" s="7" t="s">
        <v>16</v>
      </c>
      <c r="F497" s="7">
        <v>0</v>
      </c>
      <c r="G497" s="7">
        <v>1.89</v>
      </c>
      <c r="H497" s="7"/>
    </row>
    <row r="498" ht="15.3" hidden="1" spans="1:8">
      <c r="A498" s="7" t="s">
        <v>27</v>
      </c>
      <c r="B498" s="8">
        <v>45951</v>
      </c>
      <c r="C498" s="10">
        <v>17</v>
      </c>
      <c r="D498" s="7">
        <v>11.25</v>
      </c>
      <c r="E498" s="7" t="s">
        <v>16</v>
      </c>
      <c r="F498" s="7">
        <v>0</v>
      </c>
      <c r="G498" s="7">
        <v>2.76</v>
      </c>
      <c r="H498" s="7"/>
    </row>
    <row r="499" ht="15.3" spans="1:8">
      <c r="A499" s="7" t="s">
        <v>27</v>
      </c>
      <c r="B499" s="8">
        <v>45951</v>
      </c>
      <c r="C499" s="10">
        <v>18</v>
      </c>
      <c r="D499" s="7">
        <v>11.25</v>
      </c>
      <c r="E499" s="7" t="s">
        <v>16</v>
      </c>
      <c r="F499" s="7">
        <v>0</v>
      </c>
      <c r="G499" s="7">
        <v>3.05</v>
      </c>
      <c r="H499" s="7"/>
    </row>
    <row r="500" ht="15.3" hidden="1" spans="1:8">
      <c r="A500" s="7" t="s">
        <v>27</v>
      </c>
      <c r="B500" s="8">
        <v>45951</v>
      </c>
      <c r="C500" s="10">
        <v>19</v>
      </c>
      <c r="D500" s="7">
        <v>11.3</v>
      </c>
      <c r="E500" s="7" t="s">
        <v>16</v>
      </c>
      <c r="F500" s="7">
        <v>0</v>
      </c>
      <c r="G500" s="7">
        <v>2.55</v>
      </c>
      <c r="H500" s="7"/>
    </row>
    <row r="501" ht="15.3" spans="1:8">
      <c r="A501" s="7" t="s">
        <v>27</v>
      </c>
      <c r="B501" s="8">
        <v>45951</v>
      </c>
      <c r="C501" s="10">
        <v>20</v>
      </c>
      <c r="D501" s="7">
        <v>11.35</v>
      </c>
      <c r="E501" s="7" t="s">
        <v>16</v>
      </c>
      <c r="F501" s="7">
        <v>0</v>
      </c>
      <c r="G501" s="7">
        <v>2.21</v>
      </c>
      <c r="H501" s="7"/>
    </row>
    <row r="502" ht="15.3" hidden="1" spans="1:8">
      <c r="A502" s="7" t="s">
        <v>27</v>
      </c>
      <c r="B502" s="8">
        <v>45951</v>
      </c>
      <c r="C502" s="10">
        <v>21</v>
      </c>
      <c r="D502" s="7">
        <v>11.3</v>
      </c>
      <c r="E502" s="7" t="s">
        <v>16</v>
      </c>
      <c r="F502" s="7">
        <v>0</v>
      </c>
      <c r="G502" s="7">
        <v>1.52</v>
      </c>
      <c r="H502" s="7"/>
    </row>
    <row r="503" ht="15.3" spans="1:8">
      <c r="A503" s="7" t="s">
        <v>27</v>
      </c>
      <c r="B503" s="8">
        <v>45951</v>
      </c>
      <c r="C503" s="10">
        <v>22</v>
      </c>
      <c r="D503" s="7">
        <v>11.3</v>
      </c>
      <c r="E503" s="7" t="s">
        <v>16</v>
      </c>
      <c r="F503" s="7">
        <v>0</v>
      </c>
      <c r="G503" s="7">
        <v>1.48</v>
      </c>
      <c r="H503" s="7"/>
    </row>
    <row r="504" ht="15.3" hidden="1" spans="1:8">
      <c r="A504" s="7" t="s">
        <v>27</v>
      </c>
      <c r="B504" s="8">
        <v>45951</v>
      </c>
      <c r="C504" s="10">
        <v>23</v>
      </c>
      <c r="D504" s="7">
        <v>11.35</v>
      </c>
      <c r="E504" s="7" t="s">
        <v>16</v>
      </c>
      <c r="F504" s="7">
        <v>0</v>
      </c>
      <c r="G504" s="7">
        <v>1.31</v>
      </c>
      <c r="H504" s="7"/>
    </row>
    <row r="505" ht="15.3" spans="1:8">
      <c r="A505" s="7" t="s">
        <v>27</v>
      </c>
      <c r="B505" s="8">
        <v>45951</v>
      </c>
      <c r="C505" s="10">
        <v>24</v>
      </c>
      <c r="D505" s="7">
        <v>11.5</v>
      </c>
      <c r="E505" s="7" t="s">
        <v>16</v>
      </c>
      <c r="F505" s="7">
        <v>0</v>
      </c>
      <c r="G505" s="7">
        <v>1</v>
      </c>
      <c r="H505" s="7"/>
    </row>
    <row r="506" ht="15.3" hidden="1" spans="1:8">
      <c r="A506" s="7" t="s">
        <v>27</v>
      </c>
      <c r="B506" s="8">
        <v>45952</v>
      </c>
      <c r="C506" s="10">
        <v>1</v>
      </c>
      <c r="D506" s="7">
        <v>11.55</v>
      </c>
      <c r="E506" s="7" t="s">
        <v>16</v>
      </c>
      <c r="F506" s="7">
        <v>0</v>
      </c>
      <c r="G506" s="7">
        <v>1.4</v>
      </c>
      <c r="H506" s="7"/>
    </row>
    <row r="507" ht="15.3" spans="1:8">
      <c r="A507" s="7" t="s">
        <v>27</v>
      </c>
      <c r="B507" s="8">
        <v>45952</v>
      </c>
      <c r="C507" s="10">
        <v>2</v>
      </c>
      <c r="D507" s="7">
        <v>11.55</v>
      </c>
      <c r="E507" s="7" t="s">
        <v>16</v>
      </c>
      <c r="F507" s="7">
        <v>0</v>
      </c>
      <c r="G507" s="7">
        <v>2.05</v>
      </c>
      <c r="H507" s="7"/>
    </row>
    <row r="508" ht="15.3" hidden="1" spans="1:8">
      <c r="A508" s="7" t="s">
        <v>27</v>
      </c>
      <c r="B508" s="8">
        <v>45952</v>
      </c>
      <c r="C508" s="10">
        <v>3</v>
      </c>
      <c r="D508" s="7">
        <v>11.45</v>
      </c>
      <c r="E508" s="7" t="s">
        <v>16</v>
      </c>
      <c r="F508" s="7">
        <v>0</v>
      </c>
      <c r="G508" s="7">
        <v>2.87</v>
      </c>
      <c r="H508" s="7"/>
    </row>
    <row r="509" ht="15.3" spans="1:8">
      <c r="A509" s="7" t="s">
        <v>27</v>
      </c>
      <c r="B509" s="8">
        <v>45952</v>
      </c>
      <c r="C509" s="10">
        <v>4</v>
      </c>
      <c r="D509" s="7">
        <v>11.25</v>
      </c>
      <c r="E509" s="7" t="s">
        <v>16</v>
      </c>
      <c r="F509" s="7">
        <v>0</v>
      </c>
      <c r="G509" s="7">
        <v>4.28</v>
      </c>
      <c r="H509" s="7"/>
    </row>
    <row r="510" ht="15.3" hidden="1" spans="1:8">
      <c r="A510" s="7" t="s">
        <v>27</v>
      </c>
      <c r="B510" s="8">
        <v>45952</v>
      </c>
      <c r="C510" s="10">
        <v>5</v>
      </c>
      <c r="D510" s="7">
        <v>11.15</v>
      </c>
      <c r="E510" s="7" t="s">
        <v>16</v>
      </c>
      <c r="F510" s="7">
        <v>0</v>
      </c>
      <c r="G510" s="7">
        <v>4.72</v>
      </c>
      <c r="H510" s="7"/>
    </row>
    <row r="511" ht="15.3" spans="1:8">
      <c r="A511" s="7" t="s">
        <v>27</v>
      </c>
      <c r="B511" s="8">
        <v>45952</v>
      </c>
      <c r="C511" s="10">
        <v>6</v>
      </c>
      <c r="D511" s="7">
        <v>11.2</v>
      </c>
      <c r="E511" s="7" t="s">
        <v>16</v>
      </c>
      <c r="F511" s="7">
        <v>0</v>
      </c>
      <c r="G511" s="7">
        <v>4.79</v>
      </c>
      <c r="H511" s="7"/>
    </row>
    <row r="512" ht="15.3" hidden="1" spans="1:8">
      <c r="A512" s="7" t="s">
        <v>27</v>
      </c>
      <c r="B512" s="8">
        <v>45952</v>
      </c>
      <c r="C512" s="10">
        <v>7</v>
      </c>
      <c r="D512" s="7">
        <v>11.2</v>
      </c>
      <c r="E512" s="7" t="s">
        <v>16</v>
      </c>
      <c r="F512" s="7">
        <v>0</v>
      </c>
      <c r="G512" s="7">
        <v>5.2</v>
      </c>
      <c r="H512" s="7"/>
    </row>
    <row r="513" ht="15.3" spans="1:8">
      <c r="A513" s="7" t="s">
        <v>27</v>
      </c>
      <c r="B513" s="8">
        <v>45952</v>
      </c>
      <c r="C513" s="10">
        <v>8</v>
      </c>
      <c r="D513" s="7">
        <v>11.3</v>
      </c>
      <c r="E513" s="7" t="s">
        <v>16</v>
      </c>
      <c r="F513" s="7">
        <v>0</v>
      </c>
      <c r="G513" s="7">
        <v>5.08</v>
      </c>
      <c r="H513" s="7"/>
    </row>
    <row r="514" ht="15.3" hidden="1" spans="1:8">
      <c r="A514" s="7" t="s">
        <v>27</v>
      </c>
      <c r="B514" s="8">
        <v>45952</v>
      </c>
      <c r="C514" s="10">
        <v>9</v>
      </c>
      <c r="D514" s="7">
        <v>11.6</v>
      </c>
      <c r="E514" s="7" t="s">
        <v>16</v>
      </c>
      <c r="F514" s="7">
        <v>0</v>
      </c>
      <c r="G514" s="7">
        <v>4.5</v>
      </c>
      <c r="H514" s="7"/>
    </row>
    <row r="515" ht="15.3" spans="1:8">
      <c r="A515" s="7" t="s">
        <v>27</v>
      </c>
      <c r="B515" s="8">
        <v>45952</v>
      </c>
      <c r="C515" s="10">
        <v>10</v>
      </c>
      <c r="D515" s="7">
        <v>11.75</v>
      </c>
      <c r="E515" s="7" t="s">
        <v>16</v>
      </c>
      <c r="F515" s="7">
        <v>0</v>
      </c>
      <c r="G515" s="7">
        <v>3.83</v>
      </c>
      <c r="H515" s="7"/>
    </row>
    <row r="516" ht="15.3" hidden="1" spans="1:8">
      <c r="A516" s="7" t="s">
        <v>27</v>
      </c>
      <c r="B516" s="8">
        <v>45952</v>
      </c>
      <c r="C516" s="10">
        <v>11</v>
      </c>
      <c r="D516" s="7">
        <v>11.95</v>
      </c>
      <c r="E516" s="7" t="s">
        <v>16</v>
      </c>
      <c r="F516" s="7">
        <v>0</v>
      </c>
      <c r="G516" s="7">
        <v>3.43</v>
      </c>
      <c r="H516" s="7"/>
    </row>
    <row r="517" ht="15.3" spans="1:8">
      <c r="A517" s="7" t="s">
        <v>27</v>
      </c>
      <c r="B517" s="8">
        <v>45952</v>
      </c>
      <c r="C517" s="10">
        <v>12</v>
      </c>
      <c r="D517" s="7">
        <v>12.15</v>
      </c>
      <c r="E517" s="7" t="s">
        <v>16</v>
      </c>
      <c r="F517" s="7">
        <v>0</v>
      </c>
      <c r="G517" s="7">
        <v>3.29</v>
      </c>
      <c r="H517" s="7"/>
    </row>
    <row r="518" ht="15.3" hidden="1" spans="1:8">
      <c r="A518" s="7" t="s">
        <v>27</v>
      </c>
      <c r="B518" s="8">
        <v>45952</v>
      </c>
      <c r="C518" s="10">
        <v>13</v>
      </c>
      <c r="D518" s="7">
        <v>12.3</v>
      </c>
      <c r="E518" s="7" t="s">
        <v>16</v>
      </c>
      <c r="F518" s="7">
        <v>0</v>
      </c>
      <c r="G518" s="7">
        <v>3.12</v>
      </c>
      <c r="H518" s="7"/>
    </row>
    <row r="519" ht="15.3" spans="1:8">
      <c r="A519" s="7" t="s">
        <v>27</v>
      </c>
      <c r="B519" s="8">
        <v>45952</v>
      </c>
      <c r="C519" s="10">
        <v>14</v>
      </c>
      <c r="D519" s="7">
        <v>12.35</v>
      </c>
      <c r="E519" s="7" t="s">
        <v>16</v>
      </c>
      <c r="F519" s="7">
        <v>0</v>
      </c>
      <c r="G519" s="7">
        <v>2.68</v>
      </c>
      <c r="H519" s="7"/>
    </row>
    <row r="520" ht="15.3" hidden="1" spans="1:8">
      <c r="A520" s="7" t="s">
        <v>27</v>
      </c>
      <c r="B520" s="8">
        <v>45952</v>
      </c>
      <c r="C520" s="10">
        <v>15</v>
      </c>
      <c r="D520" s="7">
        <v>12.6</v>
      </c>
      <c r="E520" s="7" t="s">
        <v>16</v>
      </c>
      <c r="F520" s="7">
        <v>0</v>
      </c>
      <c r="G520" s="7">
        <v>2.87</v>
      </c>
      <c r="H520" s="7"/>
    </row>
    <row r="521" ht="15.3" spans="1:8">
      <c r="A521" s="7" t="s">
        <v>27</v>
      </c>
      <c r="B521" s="8">
        <v>45952</v>
      </c>
      <c r="C521" s="10">
        <v>16</v>
      </c>
      <c r="D521" s="7">
        <v>12.7</v>
      </c>
      <c r="E521" s="7" t="s">
        <v>16</v>
      </c>
      <c r="F521" s="7">
        <v>0</v>
      </c>
      <c r="G521" s="7">
        <v>2.54</v>
      </c>
      <c r="H521" s="7"/>
    </row>
    <row r="522" ht="15.3" hidden="1" spans="1:8">
      <c r="A522" s="7" t="s">
        <v>27</v>
      </c>
      <c r="B522" s="8">
        <v>45952</v>
      </c>
      <c r="C522" s="10">
        <v>17</v>
      </c>
      <c r="D522" s="7">
        <v>12.65</v>
      </c>
      <c r="E522" s="7" t="s">
        <v>16</v>
      </c>
      <c r="F522" s="7">
        <v>0</v>
      </c>
      <c r="G522" s="7">
        <v>1.95</v>
      </c>
      <c r="H522" s="7"/>
    </row>
    <row r="523" ht="15.3" spans="1:8">
      <c r="A523" s="7" t="s">
        <v>27</v>
      </c>
      <c r="B523" s="8">
        <v>45952</v>
      </c>
      <c r="C523" s="10">
        <v>18</v>
      </c>
      <c r="D523" s="7">
        <v>12.6</v>
      </c>
      <c r="E523" s="7" t="s">
        <v>16</v>
      </c>
      <c r="F523" s="7">
        <v>0</v>
      </c>
      <c r="G523" s="7">
        <v>1.15</v>
      </c>
      <c r="H523" s="7"/>
    </row>
    <row r="524" ht="15.3" hidden="1" spans="1:8">
      <c r="A524" s="7" t="s">
        <v>27</v>
      </c>
      <c r="B524" s="8">
        <v>45952</v>
      </c>
      <c r="C524" s="10">
        <v>19</v>
      </c>
      <c r="D524" s="7">
        <v>12.7</v>
      </c>
      <c r="E524" s="7" t="s">
        <v>16</v>
      </c>
      <c r="F524" s="7">
        <v>0</v>
      </c>
      <c r="G524" s="7">
        <v>1.54</v>
      </c>
      <c r="H524" s="7"/>
    </row>
    <row r="525" ht="15.3" spans="1:8">
      <c r="A525" s="7" t="s">
        <v>27</v>
      </c>
      <c r="B525" s="8">
        <v>45952</v>
      </c>
      <c r="C525" s="10">
        <v>20</v>
      </c>
      <c r="D525" s="7">
        <v>12.75</v>
      </c>
      <c r="E525" s="7" t="s">
        <v>16</v>
      </c>
      <c r="F525" s="7">
        <v>0</v>
      </c>
      <c r="G525" s="7">
        <v>1.39</v>
      </c>
      <c r="H525" s="7"/>
    </row>
    <row r="526" ht="15.3" hidden="1" spans="1:8">
      <c r="A526" s="7" t="s">
        <v>27</v>
      </c>
      <c r="B526" s="8">
        <v>45952</v>
      </c>
      <c r="C526" s="10">
        <v>21</v>
      </c>
      <c r="D526" s="7">
        <v>12.8</v>
      </c>
      <c r="E526" s="7" t="s">
        <v>16</v>
      </c>
      <c r="F526" s="7">
        <v>0</v>
      </c>
      <c r="G526" s="7">
        <v>1.48</v>
      </c>
      <c r="H526" s="7"/>
    </row>
    <row r="527" ht="15.3" spans="1:8">
      <c r="A527" s="7" t="s">
        <v>27</v>
      </c>
      <c r="B527" s="8">
        <v>45952</v>
      </c>
      <c r="C527" s="10">
        <v>22</v>
      </c>
      <c r="D527" s="7">
        <v>12.95</v>
      </c>
      <c r="E527" s="7" t="s">
        <v>16</v>
      </c>
      <c r="F527" s="7">
        <v>0</v>
      </c>
      <c r="G527" s="7">
        <v>1.46</v>
      </c>
      <c r="H527" s="7"/>
    </row>
    <row r="528" ht="15.3" hidden="1" spans="1:8">
      <c r="A528" s="7" t="s">
        <v>27</v>
      </c>
      <c r="B528" s="8">
        <v>45952</v>
      </c>
      <c r="C528" s="10">
        <v>23</v>
      </c>
      <c r="D528" s="7">
        <v>12.9</v>
      </c>
      <c r="E528" s="7" t="s">
        <v>16</v>
      </c>
      <c r="F528" s="7">
        <v>0.2</v>
      </c>
      <c r="G528" s="7">
        <v>1.38</v>
      </c>
      <c r="H528" s="7"/>
    </row>
    <row r="529" ht="15.3" spans="1:8">
      <c r="A529" s="7" t="s">
        <v>27</v>
      </c>
      <c r="B529" s="8">
        <v>45952</v>
      </c>
      <c r="C529" s="10">
        <v>24</v>
      </c>
      <c r="D529" s="7">
        <v>13.05</v>
      </c>
      <c r="E529" s="7" t="s">
        <v>16</v>
      </c>
      <c r="F529" s="7">
        <v>0</v>
      </c>
      <c r="G529" s="7">
        <v>1.3</v>
      </c>
      <c r="H529" s="7"/>
    </row>
    <row r="530" ht="15.3" hidden="1" spans="1:8">
      <c r="A530" s="7" t="s">
        <v>27</v>
      </c>
      <c r="B530" s="8">
        <v>45953</v>
      </c>
      <c r="C530" s="10">
        <v>1</v>
      </c>
      <c r="D530" s="7">
        <v>13.15</v>
      </c>
      <c r="E530" s="7" t="s">
        <v>16</v>
      </c>
      <c r="F530" s="7">
        <v>0</v>
      </c>
      <c r="G530" s="7">
        <v>1.64</v>
      </c>
      <c r="H530" s="7"/>
    </row>
    <row r="531" ht="15.3" spans="1:8">
      <c r="A531" s="7" t="s">
        <v>27</v>
      </c>
      <c r="B531" s="8">
        <v>45953</v>
      </c>
      <c r="C531" s="10">
        <v>2</v>
      </c>
      <c r="D531" s="7">
        <v>13.2</v>
      </c>
      <c r="E531" s="7" t="s">
        <v>16</v>
      </c>
      <c r="F531" s="7">
        <v>0</v>
      </c>
      <c r="G531" s="7">
        <v>2.43</v>
      </c>
      <c r="H531" s="7"/>
    </row>
    <row r="532" ht="15.3" hidden="1" spans="1:8">
      <c r="A532" s="7" t="s">
        <v>27</v>
      </c>
      <c r="B532" s="8">
        <v>45953</v>
      </c>
      <c r="C532" s="10">
        <v>3</v>
      </c>
      <c r="D532" s="7">
        <v>13</v>
      </c>
      <c r="E532" s="7" t="s">
        <v>16</v>
      </c>
      <c r="F532" s="7">
        <v>0</v>
      </c>
      <c r="G532" s="7">
        <v>3.11</v>
      </c>
      <c r="H532" s="7"/>
    </row>
    <row r="533" ht="15.3" spans="1:8">
      <c r="A533" s="7" t="s">
        <v>27</v>
      </c>
      <c r="B533" s="8">
        <v>45953</v>
      </c>
      <c r="C533" s="10">
        <v>4</v>
      </c>
      <c r="D533" s="7">
        <v>13.05</v>
      </c>
      <c r="E533" s="7" t="s">
        <v>16</v>
      </c>
      <c r="F533" s="7">
        <v>0</v>
      </c>
      <c r="G533" s="7">
        <v>4.1</v>
      </c>
      <c r="H533" s="7"/>
    </row>
    <row r="534" ht="15.3" hidden="1" spans="1:8">
      <c r="A534" s="7" t="s">
        <v>27</v>
      </c>
      <c r="B534" s="8">
        <v>45953</v>
      </c>
      <c r="C534" s="10">
        <v>5</v>
      </c>
      <c r="D534" s="7">
        <v>12.8</v>
      </c>
      <c r="E534" s="7" t="s">
        <v>16</v>
      </c>
      <c r="F534" s="7">
        <v>0</v>
      </c>
      <c r="G534" s="7">
        <v>5.39</v>
      </c>
      <c r="H534" s="7"/>
    </row>
    <row r="535" ht="15.3" spans="1:8">
      <c r="A535" s="7" t="s">
        <v>27</v>
      </c>
      <c r="B535" s="8">
        <v>45953</v>
      </c>
      <c r="C535" s="10">
        <v>6</v>
      </c>
      <c r="D535" s="7">
        <v>12.7</v>
      </c>
      <c r="E535" s="7" t="s">
        <v>16</v>
      </c>
      <c r="F535" s="7">
        <v>0</v>
      </c>
      <c r="G535" s="7">
        <v>6.14</v>
      </c>
      <c r="H535" s="7"/>
    </row>
    <row r="536" ht="15.3" hidden="1" spans="1:8">
      <c r="A536" s="7" t="s">
        <v>27</v>
      </c>
      <c r="B536" s="8">
        <v>45953</v>
      </c>
      <c r="C536" s="10">
        <v>7</v>
      </c>
      <c r="D536" s="7">
        <v>12.8</v>
      </c>
      <c r="E536" s="7" t="s">
        <v>16</v>
      </c>
      <c r="F536" s="7">
        <v>0</v>
      </c>
      <c r="G536" s="7">
        <v>6.23</v>
      </c>
      <c r="H536" s="7"/>
    </row>
    <row r="537" ht="15.3" spans="1:8">
      <c r="A537" s="7" t="s">
        <v>27</v>
      </c>
      <c r="B537" s="8">
        <v>45953</v>
      </c>
      <c r="C537" s="10">
        <v>8</v>
      </c>
      <c r="D537" s="7">
        <v>12.95</v>
      </c>
      <c r="E537" s="7" t="s">
        <v>16</v>
      </c>
      <c r="F537" s="7">
        <v>0</v>
      </c>
      <c r="G537" s="7">
        <v>6.43</v>
      </c>
      <c r="H537" s="7"/>
    </row>
    <row r="538" ht="15.3" hidden="1" spans="1:8">
      <c r="A538" s="7" t="s">
        <v>27</v>
      </c>
      <c r="B538" s="8">
        <v>45953</v>
      </c>
      <c r="C538" s="10">
        <v>9</v>
      </c>
      <c r="D538" s="7">
        <v>13.15</v>
      </c>
      <c r="E538" s="7" t="s">
        <v>18</v>
      </c>
      <c r="F538" s="7">
        <v>0</v>
      </c>
      <c r="G538" s="7">
        <v>6.03</v>
      </c>
      <c r="H538" s="7"/>
    </row>
    <row r="539" ht="15.3" spans="1:8">
      <c r="A539" s="7" t="s">
        <v>27</v>
      </c>
      <c r="B539" s="8">
        <v>45953</v>
      </c>
      <c r="C539" s="10">
        <v>10</v>
      </c>
      <c r="D539" s="7">
        <v>13</v>
      </c>
      <c r="E539" s="7" t="s">
        <v>18</v>
      </c>
      <c r="F539" s="7">
        <v>0</v>
      </c>
      <c r="G539" s="7">
        <v>5.87</v>
      </c>
      <c r="H539" s="7"/>
    </row>
    <row r="540" ht="15.3" hidden="1" spans="1:8">
      <c r="A540" s="7" t="s">
        <v>27</v>
      </c>
      <c r="B540" s="8">
        <v>45953</v>
      </c>
      <c r="C540" s="10">
        <v>11</v>
      </c>
      <c r="D540" s="7">
        <v>12.8</v>
      </c>
      <c r="E540" s="7" t="s">
        <v>18</v>
      </c>
      <c r="F540" s="7">
        <v>0</v>
      </c>
      <c r="G540" s="7">
        <v>6.83</v>
      </c>
      <c r="H540" s="7"/>
    </row>
    <row r="541" ht="15.3" spans="1:8">
      <c r="A541" s="7" t="s">
        <v>27</v>
      </c>
      <c r="B541" s="8">
        <v>45953</v>
      </c>
      <c r="C541" s="10">
        <v>12</v>
      </c>
      <c r="D541" s="7">
        <v>12.55</v>
      </c>
      <c r="E541" s="7" t="s">
        <v>18</v>
      </c>
      <c r="F541" s="7">
        <v>0</v>
      </c>
      <c r="G541" s="7">
        <v>7.78</v>
      </c>
      <c r="H541" s="7"/>
    </row>
    <row r="542" ht="15.3" hidden="1" spans="1:8">
      <c r="A542" s="7" t="s">
        <v>27</v>
      </c>
      <c r="B542" s="8">
        <v>45953</v>
      </c>
      <c r="C542" s="10">
        <v>13</v>
      </c>
      <c r="D542" s="7">
        <v>12.3</v>
      </c>
      <c r="E542" s="7" t="s">
        <v>18</v>
      </c>
      <c r="F542" s="7">
        <v>0</v>
      </c>
      <c r="G542" s="7">
        <v>8.21</v>
      </c>
      <c r="H542" s="7"/>
    </row>
    <row r="543" ht="15.3" spans="1:8">
      <c r="A543" s="7" t="s">
        <v>27</v>
      </c>
      <c r="B543" s="8">
        <v>45953</v>
      </c>
      <c r="C543" s="10">
        <v>14</v>
      </c>
      <c r="D543" s="7">
        <v>12.3</v>
      </c>
      <c r="E543" s="7" t="s">
        <v>19</v>
      </c>
      <c r="F543" s="7">
        <v>0</v>
      </c>
      <c r="G543" s="7">
        <v>7.79</v>
      </c>
      <c r="H543" s="7"/>
    </row>
    <row r="544" ht="15.3" hidden="1" spans="1:8">
      <c r="A544" s="7" t="s">
        <v>27</v>
      </c>
      <c r="B544" s="8">
        <v>45953</v>
      </c>
      <c r="C544" s="10">
        <v>15</v>
      </c>
      <c r="D544" s="7">
        <v>12.45</v>
      </c>
      <c r="E544" s="7" t="s">
        <v>18</v>
      </c>
      <c r="F544" s="7">
        <v>0</v>
      </c>
      <c r="G544" s="7">
        <v>6.33</v>
      </c>
      <c r="H544" s="7"/>
    </row>
    <row r="545" ht="15.3" spans="1:8">
      <c r="A545" s="7" t="s">
        <v>27</v>
      </c>
      <c r="B545" s="8">
        <v>45953</v>
      </c>
      <c r="C545" s="10">
        <v>16</v>
      </c>
      <c r="D545" s="7">
        <v>12.45</v>
      </c>
      <c r="E545" s="7" t="s">
        <v>16</v>
      </c>
      <c r="F545" s="7">
        <v>0</v>
      </c>
      <c r="G545" s="7">
        <v>6.04</v>
      </c>
      <c r="H545" s="7"/>
    </row>
    <row r="546" ht="15.3" hidden="1" spans="1:8">
      <c r="A546" s="7" t="s">
        <v>27</v>
      </c>
      <c r="B546" s="8">
        <v>45953</v>
      </c>
      <c r="C546" s="10">
        <v>17</v>
      </c>
      <c r="D546" s="7">
        <v>12.45</v>
      </c>
      <c r="E546" s="7" t="s">
        <v>16</v>
      </c>
      <c r="F546" s="7">
        <v>0</v>
      </c>
      <c r="G546" s="7">
        <v>5.91</v>
      </c>
      <c r="H546" s="7"/>
    </row>
    <row r="547" ht="15.3" spans="1:8">
      <c r="A547" s="7" t="s">
        <v>27</v>
      </c>
      <c r="B547" s="8">
        <v>45953</v>
      </c>
      <c r="C547" s="10">
        <v>18</v>
      </c>
      <c r="D547" s="7">
        <v>12.55</v>
      </c>
      <c r="E547" s="7" t="s">
        <v>16</v>
      </c>
      <c r="F547" s="7">
        <v>0</v>
      </c>
      <c r="G547" s="7">
        <v>5.32</v>
      </c>
      <c r="H547" s="7"/>
    </row>
    <row r="548" ht="15.3" hidden="1" spans="1:8">
      <c r="A548" s="7" t="s">
        <v>27</v>
      </c>
      <c r="B548" s="8">
        <v>45953</v>
      </c>
      <c r="C548" s="10">
        <v>19</v>
      </c>
      <c r="D548" s="7">
        <v>12.7</v>
      </c>
      <c r="E548" s="7" t="s">
        <v>16</v>
      </c>
      <c r="F548" s="7">
        <v>0</v>
      </c>
      <c r="G548" s="7">
        <v>5.04</v>
      </c>
      <c r="H548" s="7"/>
    </row>
    <row r="549" ht="15.3" spans="1:8">
      <c r="A549" s="7" t="s">
        <v>27</v>
      </c>
      <c r="B549" s="8">
        <v>45953</v>
      </c>
      <c r="C549" s="10">
        <v>20</v>
      </c>
      <c r="D549" s="7">
        <v>12.75</v>
      </c>
      <c r="E549" s="7" t="s">
        <v>16</v>
      </c>
      <c r="F549" s="7">
        <v>0</v>
      </c>
      <c r="G549" s="7">
        <v>4.84</v>
      </c>
      <c r="H549" s="7"/>
    </row>
    <row r="550" ht="15.3" hidden="1" spans="1:8">
      <c r="A550" s="7" t="s">
        <v>27</v>
      </c>
      <c r="B550" s="8">
        <v>45953</v>
      </c>
      <c r="C550" s="10">
        <v>21</v>
      </c>
      <c r="D550" s="7">
        <v>12.95</v>
      </c>
      <c r="E550" s="7" t="s">
        <v>16</v>
      </c>
      <c r="F550" s="7">
        <v>0</v>
      </c>
      <c r="G550" s="7">
        <v>4.68</v>
      </c>
      <c r="H550" s="7"/>
    </row>
    <row r="551" ht="15.3" spans="1:8">
      <c r="A551" s="7" t="s">
        <v>27</v>
      </c>
      <c r="B551" s="8">
        <v>45953</v>
      </c>
      <c r="C551" s="10">
        <v>22</v>
      </c>
      <c r="D551" s="7">
        <v>12.95</v>
      </c>
      <c r="E551" s="7" t="s">
        <v>16</v>
      </c>
      <c r="F551" s="7">
        <v>0</v>
      </c>
      <c r="G551" s="7">
        <v>4.96</v>
      </c>
      <c r="H551" s="7"/>
    </row>
    <row r="552" ht="15.3" hidden="1" spans="1:8">
      <c r="A552" s="7" t="s">
        <v>27</v>
      </c>
      <c r="B552" s="8">
        <v>45953</v>
      </c>
      <c r="C552" s="10">
        <v>23</v>
      </c>
      <c r="D552" s="7">
        <v>13.05</v>
      </c>
      <c r="E552" s="7" t="s">
        <v>16</v>
      </c>
      <c r="F552" s="7">
        <v>0</v>
      </c>
      <c r="G552" s="7">
        <v>5.16</v>
      </c>
      <c r="H552" s="7"/>
    </row>
    <row r="553" ht="15.3" spans="1:8">
      <c r="A553" s="7" t="s">
        <v>27</v>
      </c>
      <c r="B553" s="8">
        <v>45953</v>
      </c>
      <c r="C553" s="10">
        <v>24</v>
      </c>
      <c r="D553" s="7">
        <v>13.05</v>
      </c>
      <c r="E553" s="7" t="s">
        <v>16</v>
      </c>
      <c r="F553" s="7">
        <v>0</v>
      </c>
      <c r="G553" s="7">
        <v>4.45</v>
      </c>
      <c r="H553" s="7"/>
    </row>
    <row r="554" ht="15.3" hidden="1" spans="1:8">
      <c r="A554" s="7" t="s">
        <v>27</v>
      </c>
      <c r="B554" s="8">
        <v>45954</v>
      </c>
      <c r="C554" s="10">
        <v>1</v>
      </c>
      <c r="D554" s="7">
        <v>13.05</v>
      </c>
      <c r="E554" s="7" t="s">
        <v>16</v>
      </c>
      <c r="F554" s="7">
        <v>0</v>
      </c>
      <c r="G554" s="7">
        <v>3.22</v>
      </c>
      <c r="H554" s="7"/>
    </row>
    <row r="555" ht="15.3" spans="1:8">
      <c r="A555" s="7" t="s">
        <v>27</v>
      </c>
      <c r="B555" s="8">
        <v>45954</v>
      </c>
      <c r="C555" s="10">
        <v>2</v>
      </c>
      <c r="D555" s="7">
        <v>13.05</v>
      </c>
      <c r="E555" s="7" t="s">
        <v>16</v>
      </c>
      <c r="F555" s="7">
        <v>0</v>
      </c>
      <c r="G555" s="7">
        <v>2.8</v>
      </c>
      <c r="H555" s="7"/>
    </row>
    <row r="556" ht="15.3" hidden="1" spans="1:8">
      <c r="A556" s="7" t="s">
        <v>27</v>
      </c>
      <c r="B556" s="8">
        <v>45954</v>
      </c>
      <c r="C556" s="10">
        <v>3</v>
      </c>
      <c r="D556" s="7">
        <v>12.15</v>
      </c>
      <c r="E556" s="7" t="s">
        <v>16</v>
      </c>
      <c r="F556" s="7">
        <v>0</v>
      </c>
      <c r="G556" s="7">
        <v>3.94</v>
      </c>
      <c r="H556" s="7"/>
    </row>
    <row r="557" ht="15.3" spans="1:8">
      <c r="A557" s="7" t="s">
        <v>27</v>
      </c>
      <c r="B557" s="8">
        <v>45954</v>
      </c>
      <c r="C557" s="10">
        <v>4</v>
      </c>
      <c r="D557" s="7">
        <v>11.9</v>
      </c>
      <c r="E557" s="7" t="s">
        <v>16</v>
      </c>
      <c r="F557" s="7">
        <v>0</v>
      </c>
      <c r="G557" s="7">
        <v>4.56</v>
      </c>
      <c r="H557" s="7"/>
    </row>
    <row r="558" ht="15.3" hidden="1" spans="1:8">
      <c r="A558" s="7" t="s">
        <v>27</v>
      </c>
      <c r="B558" s="8">
        <v>45954</v>
      </c>
      <c r="C558" s="10">
        <v>5</v>
      </c>
      <c r="D558" s="7">
        <v>12.1</v>
      </c>
      <c r="E558" s="7" t="s">
        <v>16</v>
      </c>
      <c r="F558" s="7">
        <v>0</v>
      </c>
      <c r="G558" s="7">
        <v>4.85</v>
      </c>
      <c r="H558" s="7"/>
    </row>
    <row r="559" ht="15.3" spans="1:8">
      <c r="A559" s="7" t="s">
        <v>27</v>
      </c>
      <c r="B559" s="8">
        <v>45954</v>
      </c>
      <c r="C559" s="10">
        <v>6</v>
      </c>
      <c r="D559" s="7">
        <v>12.35</v>
      </c>
      <c r="E559" s="7" t="s">
        <v>16</v>
      </c>
      <c r="F559" s="7">
        <v>0</v>
      </c>
      <c r="G559" s="7">
        <v>5.02</v>
      </c>
      <c r="H559" s="7"/>
    </row>
    <row r="560" ht="15.3" hidden="1" spans="1:8">
      <c r="A560" s="7" t="s">
        <v>27</v>
      </c>
      <c r="B560" s="8">
        <v>45954</v>
      </c>
      <c r="C560" s="10">
        <v>7</v>
      </c>
      <c r="D560" s="7">
        <v>12.5</v>
      </c>
      <c r="E560" s="7" t="s">
        <v>16</v>
      </c>
      <c r="F560" s="7">
        <v>0</v>
      </c>
      <c r="G560" s="7">
        <v>4.62</v>
      </c>
      <c r="H560" s="7"/>
    </row>
    <row r="561" ht="15.3" spans="1:8">
      <c r="A561" s="7" t="s">
        <v>27</v>
      </c>
      <c r="B561" s="8">
        <v>45954</v>
      </c>
      <c r="C561" s="10">
        <v>8</v>
      </c>
      <c r="D561" s="7">
        <v>12.55</v>
      </c>
      <c r="E561" s="7" t="s">
        <v>16</v>
      </c>
      <c r="F561" s="7">
        <v>0</v>
      </c>
      <c r="G561" s="7">
        <v>4.05</v>
      </c>
      <c r="H561" s="7"/>
    </row>
    <row r="562" ht="15.3" hidden="1" spans="1:8">
      <c r="A562" s="7" t="s">
        <v>27</v>
      </c>
      <c r="B562" s="8">
        <v>45954</v>
      </c>
      <c r="C562" s="10">
        <v>9</v>
      </c>
      <c r="D562" s="7">
        <v>12.8</v>
      </c>
      <c r="E562" s="7" t="s">
        <v>16</v>
      </c>
      <c r="F562" s="7">
        <v>0</v>
      </c>
      <c r="G562" s="7">
        <v>3.26</v>
      </c>
      <c r="H562" s="7"/>
    </row>
    <row r="563" ht="15.3" spans="1:8">
      <c r="A563" s="7" t="s">
        <v>27</v>
      </c>
      <c r="B563" s="8">
        <v>45954</v>
      </c>
      <c r="C563" s="10">
        <v>10</v>
      </c>
      <c r="D563" s="7">
        <v>12.8</v>
      </c>
      <c r="E563" s="7" t="s">
        <v>16</v>
      </c>
      <c r="F563" s="7">
        <v>0</v>
      </c>
      <c r="G563" s="7">
        <v>2.24</v>
      </c>
      <c r="H563" s="7"/>
    </row>
    <row r="564" ht="15.3" hidden="1" spans="1:8">
      <c r="A564" s="7" t="s">
        <v>27</v>
      </c>
      <c r="B564" s="8">
        <v>45954</v>
      </c>
      <c r="C564" s="10">
        <v>11</v>
      </c>
      <c r="D564" s="7">
        <v>12.85</v>
      </c>
      <c r="E564" s="7" t="s">
        <v>16</v>
      </c>
      <c r="F564" s="7">
        <v>0</v>
      </c>
      <c r="G564" s="7">
        <v>1.49</v>
      </c>
      <c r="H564" s="7"/>
    </row>
    <row r="565" ht="15.3" spans="1:8">
      <c r="A565" s="7" t="s">
        <v>27</v>
      </c>
      <c r="B565" s="8">
        <v>45954</v>
      </c>
      <c r="C565" s="10">
        <v>12</v>
      </c>
      <c r="D565" s="7">
        <v>12.95</v>
      </c>
      <c r="E565" s="7" t="s">
        <v>18</v>
      </c>
      <c r="F565" s="7">
        <v>0</v>
      </c>
      <c r="G565" s="7">
        <v>1.11</v>
      </c>
      <c r="H565" s="7"/>
    </row>
    <row r="566" ht="15.3" hidden="1" spans="1:8">
      <c r="A566" s="7" t="s">
        <v>27</v>
      </c>
      <c r="B566" s="8">
        <v>45954</v>
      </c>
      <c r="C566" s="10">
        <v>13</v>
      </c>
      <c r="D566" s="7">
        <v>13.1</v>
      </c>
      <c r="E566" s="7" t="s">
        <v>18</v>
      </c>
      <c r="F566" s="7">
        <v>0</v>
      </c>
      <c r="G566" s="7">
        <v>1.27</v>
      </c>
      <c r="H566" s="7"/>
    </row>
    <row r="567" ht="15.3" spans="1:8">
      <c r="A567" s="7" t="s">
        <v>27</v>
      </c>
      <c r="B567" s="8">
        <v>45954</v>
      </c>
      <c r="C567" s="10">
        <v>14</v>
      </c>
      <c r="D567" s="7">
        <v>13.2</v>
      </c>
      <c r="E567" s="7" t="s">
        <v>18</v>
      </c>
      <c r="F567" s="7">
        <v>0</v>
      </c>
      <c r="G567" s="7">
        <v>1.21</v>
      </c>
      <c r="H567" s="7"/>
    </row>
    <row r="568" ht="15.3" hidden="1" spans="1:8">
      <c r="A568" s="7" t="s">
        <v>27</v>
      </c>
      <c r="B568" s="8">
        <v>45954</v>
      </c>
      <c r="C568" s="10">
        <v>15</v>
      </c>
      <c r="D568" s="7">
        <v>13.4</v>
      </c>
      <c r="E568" s="7" t="s">
        <v>18</v>
      </c>
      <c r="F568" s="7">
        <v>0</v>
      </c>
      <c r="G568" s="7">
        <v>2.05</v>
      </c>
      <c r="H568" s="7"/>
    </row>
    <row r="569" ht="15.3" spans="1:8">
      <c r="A569" s="7" t="s">
        <v>27</v>
      </c>
      <c r="B569" s="8">
        <v>45954</v>
      </c>
      <c r="C569" s="10">
        <v>16</v>
      </c>
      <c r="D569" s="7">
        <v>13.8</v>
      </c>
      <c r="E569" s="7" t="s">
        <v>18</v>
      </c>
      <c r="F569" s="7">
        <v>0</v>
      </c>
      <c r="G569" s="7">
        <v>3.09</v>
      </c>
      <c r="H569" s="7"/>
    </row>
    <row r="570" ht="15.3" hidden="1" spans="1:8">
      <c r="A570" s="7" t="s">
        <v>27</v>
      </c>
      <c r="B570" s="8">
        <v>45954</v>
      </c>
      <c r="C570" s="10">
        <v>17</v>
      </c>
      <c r="D570" s="7">
        <v>14.05</v>
      </c>
      <c r="E570" s="7" t="s">
        <v>18</v>
      </c>
      <c r="F570" s="7">
        <v>0</v>
      </c>
      <c r="G570" s="7">
        <v>3.91</v>
      </c>
      <c r="H570" s="7"/>
    </row>
    <row r="571" ht="15.3" spans="1:8">
      <c r="A571" s="7" t="s">
        <v>27</v>
      </c>
      <c r="B571" s="8">
        <v>45954</v>
      </c>
      <c r="C571" s="10">
        <v>18</v>
      </c>
      <c r="D571" s="7">
        <v>14.05</v>
      </c>
      <c r="E571" s="7" t="s">
        <v>18</v>
      </c>
      <c r="F571" s="7">
        <v>0</v>
      </c>
      <c r="G571" s="7">
        <v>4.79</v>
      </c>
      <c r="H571" s="7"/>
    </row>
    <row r="572" ht="15.3" hidden="1" spans="1:8">
      <c r="A572" s="7" t="s">
        <v>27</v>
      </c>
      <c r="B572" s="8">
        <v>45954</v>
      </c>
      <c r="C572" s="10">
        <v>19</v>
      </c>
      <c r="D572" s="7">
        <v>13.95</v>
      </c>
      <c r="E572" s="7" t="s">
        <v>18</v>
      </c>
      <c r="F572" s="7">
        <v>0</v>
      </c>
      <c r="G572" s="7">
        <v>5.06</v>
      </c>
      <c r="H572" s="7"/>
    </row>
    <row r="573" ht="15.3" spans="1:8">
      <c r="A573" s="7" t="s">
        <v>27</v>
      </c>
      <c r="B573" s="8">
        <v>45954</v>
      </c>
      <c r="C573" s="10">
        <v>20</v>
      </c>
      <c r="D573" s="7">
        <v>14.05</v>
      </c>
      <c r="E573" s="7" t="s">
        <v>18</v>
      </c>
      <c r="F573" s="7">
        <v>0</v>
      </c>
      <c r="G573" s="7">
        <v>5.37</v>
      </c>
      <c r="H573" s="7"/>
    </row>
    <row r="574" ht="15.3" hidden="1" spans="1:8">
      <c r="A574" s="7" t="s">
        <v>27</v>
      </c>
      <c r="B574" s="8">
        <v>45954</v>
      </c>
      <c r="C574" s="10">
        <v>21</v>
      </c>
      <c r="D574" s="7">
        <v>14.15</v>
      </c>
      <c r="E574" s="7" t="s">
        <v>18</v>
      </c>
      <c r="F574" s="7">
        <v>0</v>
      </c>
      <c r="G574" s="7">
        <v>5.56</v>
      </c>
      <c r="H574" s="7"/>
    </row>
    <row r="575" ht="15.3" spans="1:8">
      <c r="A575" s="7" t="s">
        <v>27</v>
      </c>
      <c r="B575" s="8">
        <v>45954</v>
      </c>
      <c r="C575" s="10">
        <v>22</v>
      </c>
      <c r="D575" s="7">
        <v>14.4</v>
      </c>
      <c r="E575" s="7" t="s">
        <v>16</v>
      </c>
      <c r="F575" s="7">
        <v>0</v>
      </c>
      <c r="G575" s="7">
        <v>5.26</v>
      </c>
      <c r="H575" s="7"/>
    </row>
    <row r="576" ht="15.3" hidden="1" spans="1:8">
      <c r="A576" s="7" t="s">
        <v>27</v>
      </c>
      <c r="B576" s="8">
        <v>45954</v>
      </c>
      <c r="C576" s="10">
        <v>23</v>
      </c>
      <c r="D576" s="7">
        <v>14.45</v>
      </c>
      <c r="E576" s="7" t="s">
        <v>16</v>
      </c>
      <c r="F576" s="7">
        <v>0</v>
      </c>
      <c r="G576" s="7">
        <v>4.92</v>
      </c>
      <c r="H576" s="7"/>
    </row>
    <row r="577" ht="15.3" spans="1:8">
      <c r="A577" s="7" t="s">
        <v>27</v>
      </c>
      <c r="B577" s="8">
        <v>45954</v>
      </c>
      <c r="C577" s="10">
        <v>24</v>
      </c>
      <c r="D577" s="7">
        <v>14.5</v>
      </c>
      <c r="E577" s="7" t="s">
        <v>18</v>
      </c>
      <c r="F577" s="7">
        <v>0</v>
      </c>
      <c r="G577" s="7">
        <v>4.92</v>
      </c>
      <c r="H577" s="7"/>
    </row>
    <row r="578" ht="15.3" hidden="1" spans="1:8">
      <c r="A578" s="7" t="s">
        <v>27</v>
      </c>
      <c r="B578" s="8">
        <v>45955</v>
      </c>
      <c r="C578" s="10">
        <v>1</v>
      </c>
      <c r="D578" s="7">
        <v>14.25</v>
      </c>
      <c r="E578" s="7" t="s">
        <v>18</v>
      </c>
      <c r="F578" s="7">
        <v>0</v>
      </c>
      <c r="G578" s="7">
        <v>5.05</v>
      </c>
      <c r="H578" s="7"/>
    </row>
    <row r="579" ht="15.3" spans="1:8">
      <c r="A579" s="7" t="s">
        <v>27</v>
      </c>
      <c r="B579" s="8">
        <v>45955</v>
      </c>
      <c r="C579" s="10">
        <v>2</v>
      </c>
      <c r="D579" s="7">
        <v>14.15</v>
      </c>
      <c r="E579" s="7" t="s">
        <v>18</v>
      </c>
      <c r="F579" s="7">
        <v>0</v>
      </c>
      <c r="G579" s="7">
        <v>4.81</v>
      </c>
      <c r="H579" s="7"/>
    </row>
    <row r="580" ht="15.3" hidden="1" spans="1:8">
      <c r="A580" s="7" t="s">
        <v>27</v>
      </c>
      <c r="B580" s="8">
        <v>45955</v>
      </c>
      <c r="C580" s="10">
        <v>3</v>
      </c>
      <c r="D580" s="7">
        <v>14.1</v>
      </c>
      <c r="E580" s="7" t="s">
        <v>16</v>
      </c>
      <c r="F580" s="7">
        <v>0</v>
      </c>
      <c r="G580" s="7">
        <v>4.66</v>
      </c>
      <c r="H580" s="7"/>
    </row>
    <row r="581" ht="15.3" spans="1:8">
      <c r="A581" s="7" t="s">
        <v>27</v>
      </c>
      <c r="B581" s="8">
        <v>45955</v>
      </c>
      <c r="C581" s="10">
        <v>4</v>
      </c>
      <c r="D581" s="7">
        <v>14</v>
      </c>
      <c r="E581" s="7" t="s">
        <v>16</v>
      </c>
      <c r="F581" s="7">
        <v>0</v>
      </c>
      <c r="G581" s="7">
        <v>4.47</v>
      </c>
      <c r="H581" s="7"/>
    </row>
    <row r="582" ht="15.3" hidden="1" spans="1:8">
      <c r="A582" s="7" t="s">
        <v>27</v>
      </c>
      <c r="B582" s="8">
        <v>45955</v>
      </c>
      <c r="C582" s="10">
        <v>5</v>
      </c>
      <c r="D582" s="7">
        <v>13.95</v>
      </c>
      <c r="E582" s="7" t="s">
        <v>16</v>
      </c>
      <c r="F582" s="7">
        <v>0</v>
      </c>
      <c r="G582" s="7">
        <v>4.27</v>
      </c>
      <c r="H582" s="7"/>
    </row>
    <row r="583" ht="15.3" spans="1:8">
      <c r="A583" s="7" t="s">
        <v>27</v>
      </c>
      <c r="B583" s="8">
        <v>45955</v>
      </c>
      <c r="C583" s="10">
        <v>6</v>
      </c>
      <c r="D583" s="7">
        <v>14</v>
      </c>
      <c r="E583" s="7" t="s">
        <v>16</v>
      </c>
      <c r="F583" s="7">
        <v>0</v>
      </c>
      <c r="G583" s="7">
        <v>4.15</v>
      </c>
      <c r="H583" s="7"/>
    </row>
    <row r="584" ht="15.3" hidden="1" spans="1:8">
      <c r="A584" s="7" t="s">
        <v>27</v>
      </c>
      <c r="B584" s="8">
        <v>45955</v>
      </c>
      <c r="C584" s="10">
        <v>7</v>
      </c>
      <c r="D584" s="7">
        <v>14</v>
      </c>
      <c r="E584" s="7" t="s">
        <v>16</v>
      </c>
      <c r="F584" s="7">
        <v>0</v>
      </c>
      <c r="G584" s="7">
        <v>4.43</v>
      </c>
      <c r="H584" s="7"/>
    </row>
    <row r="585" ht="15.3" spans="1:8">
      <c r="A585" s="7" t="s">
        <v>27</v>
      </c>
      <c r="B585" s="8">
        <v>45955</v>
      </c>
      <c r="C585" s="10">
        <v>8</v>
      </c>
      <c r="D585" s="7">
        <v>13.9</v>
      </c>
      <c r="E585" s="7" t="s">
        <v>16</v>
      </c>
      <c r="F585" s="7">
        <v>0</v>
      </c>
      <c r="G585" s="7">
        <v>4.22</v>
      </c>
      <c r="H585" s="7"/>
    </row>
    <row r="586" ht="15.3" hidden="1" spans="1:8">
      <c r="A586" s="7" t="s">
        <v>27</v>
      </c>
      <c r="B586" s="8">
        <v>45955</v>
      </c>
      <c r="C586" s="10">
        <v>9</v>
      </c>
      <c r="D586" s="7">
        <v>14.45</v>
      </c>
      <c r="E586" s="7" t="s">
        <v>18</v>
      </c>
      <c r="F586" s="7">
        <v>0</v>
      </c>
      <c r="G586" s="7">
        <v>5.1</v>
      </c>
      <c r="H586" s="7"/>
    </row>
    <row r="587" ht="15.3" spans="1:8">
      <c r="A587" s="7" t="s">
        <v>27</v>
      </c>
      <c r="B587" s="8">
        <v>45955</v>
      </c>
      <c r="C587" s="10">
        <v>10</v>
      </c>
      <c r="D587" s="7">
        <v>14.25</v>
      </c>
      <c r="E587" s="7" t="s">
        <v>18</v>
      </c>
      <c r="F587" s="7">
        <v>0</v>
      </c>
      <c r="G587" s="7">
        <v>5.03</v>
      </c>
      <c r="H587" s="7"/>
    </row>
    <row r="588" ht="15.3" hidden="1" spans="1:8">
      <c r="A588" s="7" t="s">
        <v>27</v>
      </c>
      <c r="B588" s="8">
        <v>45955</v>
      </c>
      <c r="C588" s="10">
        <v>11</v>
      </c>
      <c r="D588" s="7">
        <v>14.2</v>
      </c>
      <c r="E588" s="7" t="s">
        <v>18</v>
      </c>
      <c r="F588" s="7">
        <v>0</v>
      </c>
      <c r="G588" s="7">
        <v>4.66</v>
      </c>
      <c r="H588" s="7"/>
    </row>
    <row r="589" ht="15.3" spans="1:8">
      <c r="A589" s="7" t="s">
        <v>27</v>
      </c>
      <c r="B589" s="8">
        <v>45955</v>
      </c>
      <c r="C589" s="10">
        <v>12</v>
      </c>
      <c r="D589" s="7">
        <v>14.3</v>
      </c>
      <c r="E589" s="7" t="s">
        <v>18</v>
      </c>
      <c r="F589" s="7">
        <v>0</v>
      </c>
      <c r="G589" s="7">
        <v>4.1</v>
      </c>
      <c r="H589" s="7"/>
    </row>
    <row r="590" ht="15.3" hidden="1" spans="1:8">
      <c r="A590" s="7" t="s">
        <v>27</v>
      </c>
      <c r="B590" s="8">
        <v>45955</v>
      </c>
      <c r="C590" s="10">
        <v>13</v>
      </c>
      <c r="D590" s="7">
        <v>14.45</v>
      </c>
      <c r="E590" s="7" t="s">
        <v>19</v>
      </c>
      <c r="F590" s="7">
        <v>0</v>
      </c>
      <c r="G590" s="7">
        <v>4.46</v>
      </c>
      <c r="H590" s="7"/>
    </row>
    <row r="591" ht="15.3" spans="1:8">
      <c r="A591" s="7" t="s">
        <v>27</v>
      </c>
      <c r="B591" s="8">
        <v>45955</v>
      </c>
      <c r="C591" s="10">
        <v>14</v>
      </c>
      <c r="D591" s="7">
        <v>14.6</v>
      </c>
      <c r="E591" s="7" t="s">
        <v>16</v>
      </c>
      <c r="F591" s="7">
        <v>0</v>
      </c>
      <c r="G591" s="7">
        <v>4.52</v>
      </c>
      <c r="H591" s="7"/>
    </row>
    <row r="592" ht="15.3" hidden="1" spans="1:8">
      <c r="A592" s="7" t="s">
        <v>27</v>
      </c>
      <c r="B592" s="8">
        <v>45955</v>
      </c>
      <c r="C592" s="10">
        <v>15</v>
      </c>
      <c r="D592" s="7">
        <v>14.75</v>
      </c>
      <c r="E592" s="7" t="s">
        <v>16</v>
      </c>
      <c r="F592" s="7">
        <v>0</v>
      </c>
      <c r="G592" s="7">
        <v>5.1</v>
      </c>
      <c r="H592" s="7"/>
    </row>
    <row r="593" ht="15.3" spans="1:8">
      <c r="A593" s="7" t="s">
        <v>27</v>
      </c>
      <c r="B593" s="8">
        <v>45955</v>
      </c>
      <c r="C593" s="10">
        <v>16</v>
      </c>
      <c r="D593" s="7">
        <v>14.9</v>
      </c>
      <c r="E593" s="7" t="s">
        <v>16</v>
      </c>
      <c r="F593" s="7">
        <v>0</v>
      </c>
      <c r="G593" s="7">
        <v>5.54</v>
      </c>
      <c r="H593" s="7"/>
    </row>
    <row r="594" ht="15.3" hidden="1" spans="1:8">
      <c r="A594" s="7" t="s">
        <v>27</v>
      </c>
      <c r="B594" s="8">
        <v>45955</v>
      </c>
      <c r="C594" s="10">
        <v>17</v>
      </c>
      <c r="D594" s="7">
        <v>14.95</v>
      </c>
      <c r="E594" s="7" t="s">
        <v>16</v>
      </c>
      <c r="F594" s="7">
        <v>0</v>
      </c>
      <c r="G594" s="7">
        <v>5.34</v>
      </c>
      <c r="H594" s="7"/>
    </row>
    <row r="595" ht="15.3" spans="1:8">
      <c r="A595" s="7" t="s">
        <v>27</v>
      </c>
      <c r="B595" s="8">
        <v>45955</v>
      </c>
      <c r="C595" s="10">
        <v>18</v>
      </c>
      <c r="D595" s="7">
        <v>15.1</v>
      </c>
      <c r="E595" s="7" t="s">
        <v>16</v>
      </c>
      <c r="F595" s="7">
        <v>0</v>
      </c>
      <c r="G595" s="7">
        <v>5.59</v>
      </c>
      <c r="H595" s="7"/>
    </row>
    <row r="596" ht="15.3" hidden="1" spans="1:8">
      <c r="A596" s="7" t="s">
        <v>27</v>
      </c>
      <c r="B596" s="8">
        <v>45955</v>
      </c>
      <c r="C596" s="10">
        <v>19</v>
      </c>
      <c r="D596" s="7">
        <v>15.2</v>
      </c>
      <c r="E596" s="7" t="s">
        <v>16</v>
      </c>
      <c r="F596" s="7">
        <v>0</v>
      </c>
      <c r="G596" s="7">
        <v>5.66</v>
      </c>
      <c r="H596" s="7"/>
    </row>
    <row r="597" ht="15.3" spans="1:8">
      <c r="A597" s="7" t="s">
        <v>27</v>
      </c>
      <c r="B597" s="8">
        <v>45955</v>
      </c>
      <c r="C597" s="10">
        <v>20</v>
      </c>
      <c r="D597" s="7">
        <v>15.55</v>
      </c>
      <c r="E597" s="7" t="s">
        <v>16</v>
      </c>
      <c r="F597" s="7">
        <v>0</v>
      </c>
      <c r="G597" s="7">
        <v>5.66</v>
      </c>
      <c r="H597" s="7"/>
    </row>
    <row r="598" ht="15.3" hidden="1" spans="1:8">
      <c r="A598" s="7" t="s">
        <v>27</v>
      </c>
      <c r="B598" s="8">
        <v>45955</v>
      </c>
      <c r="C598" s="10">
        <v>21</v>
      </c>
      <c r="D598" s="7">
        <v>15.8</v>
      </c>
      <c r="E598" s="7" t="s">
        <v>16</v>
      </c>
      <c r="F598" s="7">
        <v>0</v>
      </c>
      <c r="G598" s="7">
        <v>5.72</v>
      </c>
      <c r="H598" s="7"/>
    </row>
    <row r="599" ht="15.3" spans="1:8">
      <c r="A599" s="7" t="s">
        <v>27</v>
      </c>
      <c r="B599" s="8">
        <v>45955</v>
      </c>
      <c r="C599" s="10">
        <v>22</v>
      </c>
      <c r="D599" s="7">
        <v>15.9</v>
      </c>
      <c r="E599" s="7" t="s">
        <v>16</v>
      </c>
      <c r="F599" s="7">
        <v>0</v>
      </c>
      <c r="G599" s="7">
        <v>5.96</v>
      </c>
      <c r="H599" s="7"/>
    </row>
    <row r="600" ht="15.3" hidden="1" spans="1:8">
      <c r="A600" s="7" t="s">
        <v>27</v>
      </c>
      <c r="B600" s="8">
        <v>45955</v>
      </c>
      <c r="C600" s="10">
        <v>23</v>
      </c>
      <c r="D600" s="7">
        <v>16.1</v>
      </c>
      <c r="E600" s="7" t="s">
        <v>16</v>
      </c>
      <c r="F600" s="7">
        <v>0</v>
      </c>
      <c r="G600" s="7">
        <v>6.02</v>
      </c>
      <c r="H600" s="7"/>
    </row>
    <row r="601" ht="15.3" spans="1:8">
      <c r="A601" s="7" t="s">
        <v>27</v>
      </c>
      <c r="B601" s="8">
        <v>45955</v>
      </c>
      <c r="C601" s="10">
        <v>24</v>
      </c>
      <c r="D601" s="7">
        <v>16.15</v>
      </c>
      <c r="E601" s="7" t="s">
        <v>16</v>
      </c>
      <c r="F601" s="7">
        <v>0</v>
      </c>
      <c r="G601" s="7">
        <v>6.4</v>
      </c>
      <c r="H601" s="7"/>
    </row>
    <row r="602" ht="15.3" hidden="1" spans="1:8">
      <c r="A602" s="7" t="s">
        <v>27</v>
      </c>
      <c r="B602" s="8">
        <v>45956</v>
      </c>
      <c r="C602" s="10">
        <v>1</v>
      </c>
      <c r="D602" s="7">
        <v>16.05</v>
      </c>
      <c r="E602" s="7" t="s">
        <v>16</v>
      </c>
      <c r="F602" s="7">
        <v>0</v>
      </c>
      <c r="G602" s="7">
        <v>6.36</v>
      </c>
      <c r="H602" s="7"/>
    </row>
    <row r="603" ht="15.3" spans="1:8">
      <c r="A603" s="7" t="s">
        <v>27</v>
      </c>
      <c r="B603" s="8">
        <v>45956</v>
      </c>
      <c r="C603" s="10">
        <v>2</v>
      </c>
      <c r="D603" s="7">
        <v>15.75</v>
      </c>
      <c r="E603" s="7" t="s">
        <v>16</v>
      </c>
      <c r="F603" s="7">
        <v>0</v>
      </c>
      <c r="G603" s="7">
        <v>6.82</v>
      </c>
      <c r="H603" s="7"/>
    </row>
    <row r="604" ht="15.3" hidden="1" spans="1:8">
      <c r="A604" s="7" t="s">
        <v>27</v>
      </c>
      <c r="B604" s="8">
        <v>45956</v>
      </c>
      <c r="C604" s="10">
        <v>3</v>
      </c>
      <c r="D604" s="7">
        <v>15.3</v>
      </c>
      <c r="E604" s="7" t="s">
        <v>16</v>
      </c>
      <c r="F604" s="7">
        <v>0</v>
      </c>
      <c r="G604" s="7">
        <v>7.53</v>
      </c>
      <c r="H604" s="7"/>
    </row>
    <row r="605" ht="15.3" spans="1:8">
      <c r="A605" s="7" t="s">
        <v>27</v>
      </c>
      <c r="B605" s="8">
        <v>45956</v>
      </c>
      <c r="C605" s="10">
        <v>4</v>
      </c>
      <c r="D605" s="7">
        <v>14.35</v>
      </c>
      <c r="E605" s="7" t="s">
        <v>16</v>
      </c>
      <c r="F605" s="7">
        <v>0</v>
      </c>
      <c r="G605" s="7">
        <v>7.99</v>
      </c>
      <c r="H605" s="7"/>
    </row>
    <row r="606" ht="15.3" hidden="1" spans="1:8">
      <c r="A606" s="7" t="s">
        <v>27</v>
      </c>
      <c r="B606" s="8">
        <v>45956</v>
      </c>
      <c r="C606" s="10">
        <v>5</v>
      </c>
      <c r="D606" s="7">
        <v>13.2</v>
      </c>
      <c r="E606" s="7" t="s">
        <v>16</v>
      </c>
      <c r="F606" s="7">
        <v>0</v>
      </c>
      <c r="G606" s="7">
        <v>6.56</v>
      </c>
      <c r="H606" s="7"/>
    </row>
    <row r="607" ht="15.3" spans="1:8">
      <c r="A607" s="7" t="s">
        <v>27</v>
      </c>
      <c r="B607" s="8">
        <v>45956</v>
      </c>
      <c r="C607" s="10">
        <v>6</v>
      </c>
      <c r="D607" s="7">
        <v>12.6</v>
      </c>
      <c r="E607" s="7" t="s">
        <v>16</v>
      </c>
      <c r="F607" s="7">
        <v>0</v>
      </c>
      <c r="G607" s="7">
        <v>8.02</v>
      </c>
      <c r="H607" s="7"/>
    </row>
    <row r="608" ht="15.3" hidden="1" spans="1:8">
      <c r="A608" s="7" t="s">
        <v>27</v>
      </c>
      <c r="B608" s="8">
        <v>45956</v>
      </c>
      <c r="C608" s="10">
        <v>7</v>
      </c>
      <c r="D608" s="7">
        <v>12.1</v>
      </c>
      <c r="E608" s="7" t="s">
        <v>16</v>
      </c>
      <c r="F608" s="7">
        <v>0</v>
      </c>
      <c r="G608" s="7">
        <v>8.05</v>
      </c>
      <c r="H608" s="7"/>
    </row>
    <row r="609" ht="15.3" spans="1:8">
      <c r="A609" s="7" t="s">
        <v>27</v>
      </c>
      <c r="B609" s="8">
        <v>45956</v>
      </c>
      <c r="C609" s="10">
        <v>8</v>
      </c>
      <c r="D609" s="7">
        <v>11.5</v>
      </c>
      <c r="E609" s="7" t="s">
        <v>16</v>
      </c>
      <c r="F609" s="7">
        <v>0</v>
      </c>
      <c r="G609" s="7">
        <v>8.35</v>
      </c>
      <c r="H609" s="7"/>
    </row>
    <row r="610" ht="15.3" hidden="1" spans="1:8">
      <c r="A610" s="7" t="s">
        <v>27</v>
      </c>
      <c r="B610" s="8">
        <v>45956</v>
      </c>
      <c r="C610" s="10">
        <v>9</v>
      </c>
      <c r="D610" s="7">
        <v>11.65</v>
      </c>
      <c r="E610" s="7" t="s">
        <v>16</v>
      </c>
      <c r="F610" s="7">
        <v>0</v>
      </c>
      <c r="G610" s="7">
        <v>8.55</v>
      </c>
      <c r="H610" s="7"/>
    </row>
    <row r="611" ht="15.3" spans="1:8">
      <c r="A611" s="7" t="s">
        <v>27</v>
      </c>
      <c r="B611" s="8">
        <v>45956</v>
      </c>
      <c r="C611" s="10">
        <v>10</v>
      </c>
      <c r="D611" s="7">
        <v>11.85</v>
      </c>
      <c r="E611" s="7" t="s">
        <v>16</v>
      </c>
      <c r="F611" s="7">
        <v>0</v>
      </c>
      <c r="G611" s="7">
        <v>9.59</v>
      </c>
      <c r="H611" s="7"/>
    </row>
    <row r="612" ht="15.3" hidden="1" spans="1:8">
      <c r="A612" s="7" t="s">
        <v>27</v>
      </c>
      <c r="B612" s="8">
        <v>45956</v>
      </c>
      <c r="C612" s="10">
        <v>11</v>
      </c>
      <c r="D612" s="7">
        <v>11.45</v>
      </c>
      <c r="E612" s="7" t="s">
        <v>16</v>
      </c>
      <c r="F612" s="7">
        <v>0</v>
      </c>
      <c r="G612" s="7">
        <v>8.97</v>
      </c>
      <c r="H612" s="7"/>
    </row>
    <row r="613" ht="15.3" spans="1:8">
      <c r="A613" s="7" t="s">
        <v>27</v>
      </c>
      <c r="B613" s="8">
        <v>45956</v>
      </c>
      <c r="C613" s="10">
        <v>12</v>
      </c>
      <c r="D613" s="7">
        <v>11.25</v>
      </c>
      <c r="E613" s="7" t="s">
        <v>16</v>
      </c>
      <c r="F613" s="7">
        <v>0</v>
      </c>
      <c r="G613" s="7">
        <v>7.32</v>
      </c>
      <c r="H613" s="7"/>
    </row>
    <row r="614" ht="15.3" hidden="1" spans="1:8">
      <c r="A614" s="7" t="s">
        <v>27</v>
      </c>
      <c r="B614" s="8">
        <v>45956</v>
      </c>
      <c r="C614" s="10">
        <v>13</v>
      </c>
      <c r="D614" s="7">
        <v>11.2</v>
      </c>
      <c r="E614" s="7" t="s">
        <v>16</v>
      </c>
      <c r="F614" s="7">
        <v>0</v>
      </c>
      <c r="G614" s="7">
        <v>5.06</v>
      </c>
      <c r="H614" s="7"/>
    </row>
    <row r="615" ht="15.3" spans="1:8">
      <c r="A615" s="7" t="s">
        <v>27</v>
      </c>
      <c r="B615" s="8">
        <v>45956</v>
      </c>
      <c r="C615" s="10">
        <v>14</v>
      </c>
      <c r="D615" s="7">
        <v>11.5</v>
      </c>
      <c r="E615" s="7" t="s">
        <v>16</v>
      </c>
      <c r="F615" s="7">
        <v>0</v>
      </c>
      <c r="G615" s="7">
        <v>4.44</v>
      </c>
      <c r="H615" s="7"/>
    </row>
    <row r="616" ht="15.3" hidden="1" spans="1:8">
      <c r="A616" s="7" t="s">
        <v>27</v>
      </c>
      <c r="B616" s="8">
        <v>45956</v>
      </c>
      <c r="C616" s="10">
        <v>15</v>
      </c>
      <c r="D616" s="7">
        <v>11.95</v>
      </c>
      <c r="E616" s="7" t="s">
        <v>16</v>
      </c>
      <c r="F616" s="7">
        <v>0</v>
      </c>
      <c r="G616" s="7">
        <v>6.95</v>
      </c>
      <c r="H616" s="7"/>
    </row>
    <row r="617" ht="15.3" spans="1:8">
      <c r="A617" s="7" t="s">
        <v>27</v>
      </c>
      <c r="B617" s="8">
        <v>45956</v>
      </c>
      <c r="C617" s="10">
        <v>16</v>
      </c>
      <c r="D617" s="7">
        <v>11.75</v>
      </c>
      <c r="E617" s="7" t="s">
        <v>16</v>
      </c>
      <c r="F617" s="7">
        <v>0</v>
      </c>
      <c r="G617" s="7">
        <v>8.22</v>
      </c>
      <c r="H617" s="7"/>
    </row>
    <row r="618" ht="15.3" hidden="1" spans="1:8">
      <c r="A618" s="7" t="s">
        <v>27</v>
      </c>
      <c r="B618" s="8">
        <v>45956</v>
      </c>
      <c r="C618" s="10">
        <v>17</v>
      </c>
      <c r="D618" s="7">
        <v>11.75</v>
      </c>
      <c r="E618" s="7" t="s">
        <v>16</v>
      </c>
      <c r="F618" s="7">
        <v>0</v>
      </c>
      <c r="G618" s="7">
        <v>8.19</v>
      </c>
      <c r="H618" s="7"/>
    </row>
    <row r="619" ht="15.3" spans="1:8">
      <c r="A619" s="7" t="s">
        <v>27</v>
      </c>
      <c r="B619" s="8">
        <v>45956</v>
      </c>
      <c r="C619" s="10">
        <v>18</v>
      </c>
      <c r="D619" s="7">
        <v>11.65</v>
      </c>
      <c r="E619" s="7" t="s">
        <v>16</v>
      </c>
      <c r="F619" s="7">
        <v>0</v>
      </c>
      <c r="G619" s="7">
        <v>8.16</v>
      </c>
      <c r="H619" s="7"/>
    </row>
    <row r="620" ht="15.3" hidden="1" spans="1:8">
      <c r="A620" s="7" t="s">
        <v>27</v>
      </c>
      <c r="B620" s="8">
        <v>45956</v>
      </c>
      <c r="C620" s="10">
        <v>19</v>
      </c>
      <c r="D620" s="7">
        <v>11.55</v>
      </c>
      <c r="E620" s="7" t="s">
        <v>16</v>
      </c>
      <c r="F620" s="7">
        <v>0</v>
      </c>
      <c r="G620" s="7">
        <v>7.52</v>
      </c>
      <c r="H620" s="7"/>
    </row>
    <row r="621" ht="15.3" spans="1:8">
      <c r="A621" s="7" t="s">
        <v>27</v>
      </c>
      <c r="B621" s="8">
        <v>45956</v>
      </c>
      <c r="C621" s="10">
        <v>20</v>
      </c>
      <c r="D621" s="7">
        <v>11.5</v>
      </c>
      <c r="E621" s="7" t="s">
        <v>16</v>
      </c>
      <c r="F621" s="7">
        <v>0</v>
      </c>
      <c r="G621" s="7">
        <v>7.32</v>
      </c>
      <c r="H621" s="7"/>
    </row>
    <row r="622" ht="15.3" hidden="1" spans="1:8">
      <c r="A622" s="7" t="s">
        <v>27</v>
      </c>
      <c r="B622" s="8">
        <v>45956</v>
      </c>
      <c r="C622" s="10">
        <v>21</v>
      </c>
      <c r="D622" s="7">
        <v>12.15</v>
      </c>
      <c r="E622" s="7" t="s">
        <v>16</v>
      </c>
      <c r="F622" s="7">
        <v>0</v>
      </c>
      <c r="G622" s="7">
        <v>4.77</v>
      </c>
      <c r="H622" s="7"/>
    </row>
    <row r="623" ht="15.3" spans="1:8">
      <c r="A623" s="7" t="s">
        <v>27</v>
      </c>
      <c r="B623" s="8">
        <v>45956</v>
      </c>
      <c r="C623" s="10">
        <v>22</v>
      </c>
      <c r="D623" s="7">
        <v>11.75</v>
      </c>
      <c r="E623" s="7" t="s">
        <v>16</v>
      </c>
      <c r="F623" s="7">
        <v>0</v>
      </c>
      <c r="G623" s="7">
        <v>4.35</v>
      </c>
      <c r="H623" s="7"/>
    </row>
    <row r="624" ht="15.3" hidden="1" spans="1:8">
      <c r="A624" s="7" t="s">
        <v>27</v>
      </c>
      <c r="B624" s="8">
        <v>45956</v>
      </c>
      <c r="C624" s="10">
        <v>23</v>
      </c>
      <c r="D624" s="7">
        <v>11.4</v>
      </c>
      <c r="E624" s="7" t="s">
        <v>16</v>
      </c>
      <c r="F624" s="7">
        <v>0</v>
      </c>
      <c r="G624" s="7">
        <v>5.75</v>
      </c>
      <c r="H624" s="7"/>
    </row>
    <row r="625" ht="15.3" spans="1:8">
      <c r="A625" s="7" t="s">
        <v>27</v>
      </c>
      <c r="B625" s="8">
        <v>45956</v>
      </c>
      <c r="C625" s="10">
        <v>24</v>
      </c>
      <c r="D625" s="7">
        <v>10.6</v>
      </c>
      <c r="E625" s="7" t="s">
        <v>16</v>
      </c>
      <c r="F625" s="7">
        <v>0</v>
      </c>
      <c r="G625" s="7">
        <v>9</v>
      </c>
      <c r="H625" s="7"/>
    </row>
    <row r="626" ht="15.3" hidden="1" spans="1:8">
      <c r="A626" s="7" t="s">
        <v>27</v>
      </c>
      <c r="B626" s="8">
        <v>45957</v>
      </c>
      <c r="C626" s="10">
        <v>1</v>
      </c>
      <c r="D626" s="7">
        <v>10.15</v>
      </c>
      <c r="E626" s="7" t="s">
        <v>16</v>
      </c>
      <c r="F626" s="7">
        <v>0</v>
      </c>
      <c r="G626" s="7">
        <v>8.76</v>
      </c>
      <c r="H626" s="7"/>
    </row>
    <row r="627" ht="15.3" spans="1:8">
      <c r="A627" s="7" t="s">
        <v>27</v>
      </c>
      <c r="B627" s="8">
        <v>45957</v>
      </c>
      <c r="C627" s="10">
        <v>2</v>
      </c>
      <c r="D627" s="7">
        <v>9.8</v>
      </c>
      <c r="E627" s="7" t="s">
        <v>16</v>
      </c>
      <c r="F627" s="7">
        <v>0</v>
      </c>
      <c r="G627" s="7">
        <v>8.61</v>
      </c>
      <c r="H627" s="7"/>
    </row>
    <row r="628" ht="15.3" hidden="1" spans="1:8">
      <c r="A628" s="7" t="s">
        <v>27</v>
      </c>
      <c r="B628" s="8">
        <v>45957</v>
      </c>
      <c r="C628" s="10">
        <v>3</v>
      </c>
      <c r="D628" s="7">
        <v>9.35</v>
      </c>
      <c r="E628" s="7" t="s">
        <v>16</v>
      </c>
      <c r="F628" s="7">
        <v>0</v>
      </c>
      <c r="G628" s="7">
        <v>8.21</v>
      </c>
      <c r="H628" s="7"/>
    </row>
    <row r="629" ht="15.3" spans="1:8">
      <c r="A629" s="7" t="s">
        <v>27</v>
      </c>
      <c r="B629" s="8">
        <v>45957</v>
      </c>
      <c r="C629" s="10">
        <v>4</v>
      </c>
      <c r="D629" s="7">
        <v>8.85</v>
      </c>
      <c r="E629" s="7" t="s">
        <v>16</v>
      </c>
      <c r="F629" s="7">
        <v>0</v>
      </c>
      <c r="G629" s="7">
        <v>7.43</v>
      </c>
      <c r="H629" s="7"/>
    </row>
    <row r="630" ht="15.3" hidden="1" spans="1:8">
      <c r="A630" s="7" t="s">
        <v>27</v>
      </c>
      <c r="B630" s="8">
        <v>45957</v>
      </c>
      <c r="C630" s="10">
        <v>5</v>
      </c>
      <c r="D630" s="7">
        <v>8.9</v>
      </c>
      <c r="E630" s="7" t="s">
        <v>16</v>
      </c>
      <c r="F630" s="7">
        <v>0</v>
      </c>
      <c r="G630" s="7">
        <v>7.13</v>
      </c>
      <c r="H630" s="7"/>
    </row>
    <row r="631" ht="15.3" spans="1:8">
      <c r="A631" s="7" t="s">
        <v>27</v>
      </c>
      <c r="B631" s="8">
        <v>45957</v>
      </c>
      <c r="C631" s="10">
        <v>6</v>
      </c>
      <c r="D631" s="7">
        <v>8.95</v>
      </c>
      <c r="E631" s="7" t="s">
        <v>16</v>
      </c>
      <c r="F631" s="7">
        <v>0</v>
      </c>
      <c r="G631" s="7">
        <v>6.35</v>
      </c>
      <c r="H631" s="7"/>
    </row>
    <row r="632" ht="15.3" hidden="1" spans="1:8">
      <c r="A632" s="7" t="s">
        <v>27</v>
      </c>
      <c r="B632" s="8">
        <v>45957</v>
      </c>
      <c r="C632" s="10">
        <v>7</v>
      </c>
      <c r="D632" s="7">
        <v>8.65</v>
      </c>
      <c r="E632" s="7" t="s">
        <v>16</v>
      </c>
      <c r="F632" s="7">
        <v>0</v>
      </c>
      <c r="G632" s="7">
        <v>5.66</v>
      </c>
      <c r="H632" s="7"/>
    </row>
    <row r="633" ht="15.3" spans="1:8">
      <c r="A633" s="7" t="s">
        <v>27</v>
      </c>
      <c r="B633" s="8">
        <v>45957</v>
      </c>
      <c r="C633" s="10">
        <v>8</v>
      </c>
      <c r="D633" s="7">
        <v>8.6</v>
      </c>
      <c r="E633" s="7" t="s">
        <v>16</v>
      </c>
      <c r="F633" s="7">
        <v>0</v>
      </c>
      <c r="G633" s="7">
        <v>5.01</v>
      </c>
      <c r="H633" s="7"/>
    </row>
    <row r="634" ht="15.3" hidden="1" spans="1:8">
      <c r="A634" s="7" t="s">
        <v>27</v>
      </c>
      <c r="B634" s="8">
        <v>45957</v>
      </c>
      <c r="C634" s="10">
        <v>9</v>
      </c>
      <c r="D634" s="7">
        <v>9</v>
      </c>
      <c r="E634" s="7" t="s">
        <v>16</v>
      </c>
      <c r="F634" s="7">
        <v>0</v>
      </c>
      <c r="G634" s="7">
        <v>4.11</v>
      </c>
      <c r="H634" s="7"/>
    </row>
    <row r="635" ht="15.3" spans="1:8">
      <c r="A635" s="7" t="s">
        <v>27</v>
      </c>
      <c r="B635" s="8">
        <v>45957</v>
      </c>
      <c r="C635" s="10">
        <v>10</v>
      </c>
      <c r="D635" s="7">
        <v>9.4</v>
      </c>
      <c r="E635" s="7" t="s">
        <v>16</v>
      </c>
      <c r="F635" s="7">
        <v>0</v>
      </c>
      <c r="G635" s="7">
        <v>3.17</v>
      </c>
      <c r="H635" s="7"/>
    </row>
    <row r="636" ht="15.3" hidden="1" spans="1:8">
      <c r="A636" s="7" t="s">
        <v>27</v>
      </c>
      <c r="B636" s="8">
        <v>45957</v>
      </c>
      <c r="C636" s="10">
        <v>11</v>
      </c>
      <c r="D636" s="7">
        <v>9.6</v>
      </c>
      <c r="E636" s="7" t="s">
        <v>16</v>
      </c>
      <c r="F636" s="7">
        <v>0</v>
      </c>
      <c r="G636" s="7">
        <v>2.26</v>
      </c>
      <c r="H636" s="7"/>
    </row>
    <row r="637" ht="15.3" spans="1:8">
      <c r="A637" s="7" t="s">
        <v>27</v>
      </c>
      <c r="B637" s="8">
        <v>45957</v>
      </c>
      <c r="C637" s="10">
        <v>12</v>
      </c>
      <c r="D637" s="7">
        <v>9.75</v>
      </c>
      <c r="E637" s="7" t="s">
        <v>16</v>
      </c>
      <c r="F637" s="7">
        <v>0</v>
      </c>
      <c r="G637" s="7">
        <v>2.08</v>
      </c>
      <c r="H637" s="7"/>
    </row>
    <row r="638" ht="15.3" hidden="1" spans="1:8">
      <c r="A638" s="7" t="s">
        <v>27</v>
      </c>
      <c r="B638" s="8">
        <v>45957</v>
      </c>
      <c r="C638" s="10">
        <v>13</v>
      </c>
      <c r="D638" s="7">
        <v>10.1</v>
      </c>
      <c r="E638" s="7" t="s">
        <v>16</v>
      </c>
      <c r="F638" s="7">
        <v>0</v>
      </c>
      <c r="G638" s="7">
        <v>2.07</v>
      </c>
      <c r="H638" s="7"/>
    </row>
    <row r="639" ht="15.3" spans="1:8">
      <c r="A639" s="7" t="s">
        <v>27</v>
      </c>
      <c r="B639" s="8">
        <v>45957</v>
      </c>
      <c r="C639" s="10">
        <v>14</v>
      </c>
      <c r="D639" s="7">
        <v>10.5</v>
      </c>
      <c r="E639" s="7" t="s">
        <v>16</v>
      </c>
      <c r="F639" s="7">
        <v>0</v>
      </c>
      <c r="G639" s="7">
        <v>2.01</v>
      </c>
      <c r="H639" s="7"/>
    </row>
    <row r="640" ht="15.3" hidden="1" spans="1:8">
      <c r="A640" s="7" t="s">
        <v>27</v>
      </c>
      <c r="B640" s="8">
        <v>45957</v>
      </c>
      <c r="C640" s="10">
        <v>15</v>
      </c>
      <c r="D640" s="7">
        <v>12.85</v>
      </c>
      <c r="E640" s="7" t="s">
        <v>16</v>
      </c>
      <c r="F640" s="7">
        <v>0</v>
      </c>
      <c r="G640" s="7">
        <v>5.1</v>
      </c>
      <c r="H640" s="7"/>
    </row>
    <row r="641" ht="15.3" spans="1:8">
      <c r="A641" s="7" t="s">
        <v>27</v>
      </c>
      <c r="B641" s="8">
        <v>45957</v>
      </c>
      <c r="C641" s="10">
        <v>16</v>
      </c>
      <c r="D641" s="7">
        <v>13.35</v>
      </c>
      <c r="E641" s="7" t="s">
        <v>16</v>
      </c>
      <c r="F641" s="7">
        <v>0</v>
      </c>
      <c r="G641" s="7">
        <v>6.17</v>
      </c>
      <c r="H641" s="7"/>
    </row>
    <row r="642" ht="15.3" hidden="1" spans="1:8">
      <c r="A642" s="7" t="s">
        <v>27</v>
      </c>
      <c r="B642" s="8">
        <v>45957</v>
      </c>
      <c r="C642" s="10">
        <v>17</v>
      </c>
      <c r="D642" s="7">
        <v>13.7</v>
      </c>
      <c r="E642" s="7" t="s">
        <v>16</v>
      </c>
      <c r="F642" s="7">
        <v>0</v>
      </c>
      <c r="G642" s="7">
        <v>5.99</v>
      </c>
      <c r="H642" s="7"/>
    </row>
    <row r="643" ht="15.3" spans="1:8">
      <c r="A643" s="7" t="s">
        <v>27</v>
      </c>
      <c r="B643" s="8">
        <v>45957</v>
      </c>
      <c r="C643" s="10">
        <v>18</v>
      </c>
      <c r="D643" s="7">
        <v>14</v>
      </c>
      <c r="E643" s="7" t="s">
        <v>16</v>
      </c>
      <c r="F643" s="7">
        <v>0</v>
      </c>
      <c r="G643" s="7">
        <v>5.57</v>
      </c>
      <c r="H643" s="7"/>
    </row>
    <row r="644" ht="15.3" hidden="1" spans="1:8">
      <c r="A644" s="7" t="s">
        <v>27</v>
      </c>
      <c r="B644" s="8">
        <v>45957</v>
      </c>
      <c r="C644" s="10">
        <v>19</v>
      </c>
      <c r="D644" s="7">
        <v>14.35</v>
      </c>
      <c r="E644" s="7" t="s">
        <v>16</v>
      </c>
      <c r="F644" s="7">
        <v>0</v>
      </c>
      <c r="G644" s="7">
        <v>4.92</v>
      </c>
      <c r="H644" s="7"/>
    </row>
    <row r="645" ht="15.3" spans="1:8">
      <c r="A645" s="7" t="s">
        <v>27</v>
      </c>
      <c r="B645" s="8">
        <v>45957</v>
      </c>
      <c r="C645" s="10">
        <v>20</v>
      </c>
      <c r="D645" s="7">
        <v>14.6</v>
      </c>
      <c r="E645" s="7" t="s">
        <v>16</v>
      </c>
      <c r="F645" s="7">
        <v>0</v>
      </c>
      <c r="G645" s="7">
        <v>4.86</v>
      </c>
      <c r="H645" s="7"/>
    </row>
    <row r="646" ht="15.3" hidden="1" spans="1:8">
      <c r="A646" s="7" t="s">
        <v>27</v>
      </c>
      <c r="B646" s="8">
        <v>45957</v>
      </c>
      <c r="C646" s="10">
        <v>21</v>
      </c>
      <c r="D646" s="7">
        <v>14.6</v>
      </c>
      <c r="E646" s="7" t="s">
        <v>16</v>
      </c>
      <c r="F646" s="7">
        <v>0</v>
      </c>
      <c r="G646" s="7">
        <v>5.36</v>
      </c>
      <c r="H646" s="7"/>
    </row>
    <row r="647" ht="15.3" spans="1:8">
      <c r="A647" s="7" t="s">
        <v>27</v>
      </c>
      <c r="B647" s="8">
        <v>45957</v>
      </c>
      <c r="C647" s="10">
        <v>22</v>
      </c>
      <c r="D647" s="7">
        <v>14.7</v>
      </c>
      <c r="E647" s="7" t="s">
        <v>16</v>
      </c>
      <c r="F647" s="7">
        <v>0</v>
      </c>
      <c r="G647" s="7">
        <v>4.71</v>
      </c>
      <c r="H647" s="7"/>
    </row>
    <row r="648" ht="15.3" hidden="1" spans="1:8">
      <c r="A648" s="7" t="s">
        <v>27</v>
      </c>
      <c r="B648" s="8">
        <v>45957</v>
      </c>
      <c r="C648" s="10">
        <v>23</v>
      </c>
      <c r="D648" s="7">
        <v>14.85</v>
      </c>
      <c r="E648" s="7" t="s">
        <v>16</v>
      </c>
      <c r="F648" s="7">
        <v>0</v>
      </c>
      <c r="G648" s="7">
        <v>4.21</v>
      </c>
      <c r="H648" s="7"/>
    </row>
    <row r="649" ht="15.3" spans="1:8">
      <c r="A649" s="7" t="s">
        <v>27</v>
      </c>
      <c r="B649" s="8">
        <v>45957</v>
      </c>
      <c r="C649" s="10">
        <v>24</v>
      </c>
      <c r="D649" s="7">
        <v>14.9</v>
      </c>
      <c r="E649" s="7" t="s">
        <v>16</v>
      </c>
      <c r="F649" s="7">
        <v>0</v>
      </c>
      <c r="G649" s="7">
        <v>3.93</v>
      </c>
      <c r="H649" s="7"/>
    </row>
    <row r="650" ht="15.3" hidden="1" spans="1:8">
      <c r="A650" s="7" t="s">
        <v>27</v>
      </c>
      <c r="B650" s="8">
        <v>45958</v>
      </c>
      <c r="C650" s="10">
        <v>1</v>
      </c>
      <c r="D650" s="7">
        <v>14.9</v>
      </c>
      <c r="E650" s="7" t="s">
        <v>16</v>
      </c>
      <c r="F650" s="7">
        <v>0</v>
      </c>
      <c r="G650" s="7">
        <v>4.21</v>
      </c>
      <c r="H650" s="7"/>
    </row>
    <row r="651" ht="15.3" spans="1:8">
      <c r="A651" s="7" t="s">
        <v>27</v>
      </c>
      <c r="B651" s="8">
        <v>45958</v>
      </c>
      <c r="C651" s="10">
        <v>2</v>
      </c>
      <c r="D651" s="7">
        <v>14.95</v>
      </c>
      <c r="E651" s="7" t="s">
        <v>16</v>
      </c>
      <c r="F651" s="7">
        <v>0</v>
      </c>
      <c r="G651" s="7">
        <v>5.39</v>
      </c>
      <c r="H651" s="7"/>
    </row>
    <row r="652" ht="15.3" hidden="1" spans="1:8">
      <c r="A652" s="7" t="s">
        <v>27</v>
      </c>
      <c r="B652" s="8">
        <v>45958</v>
      </c>
      <c r="C652" s="10">
        <v>3</v>
      </c>
      <c r="D652" s="7">
        <v>14.25</v>
      </c>
      <c r="E652" s="7" t="s">
        <v>16</v>
      </c>
      <c r="F652" s="7">
        <v>0.1</v>
      </c>
      <c r="G652" s="7">
        <v>5.76</v>
      </c>
      <c r="H652" s="7"/>
    </row>
    <row r="653" ht="15.3" spans="1:8">
      <c r="A653" s="7" t="s">
        <v>27</v>
      </c>
      <c r="B653" s="8">
        <v>45958</v>
      </c>
      <c r="C653" s="10">
        <v>4</v>
      </c>
      <c r="D653" s="7">
        <v>14.2</v>
      </c>
      <c r="E653" s="7" t="s">
        <v>16</v>
      </c>
      <c r="F653" s="7">
        <v>0.2</v>
      </c>
      <c r="G653" s="7">
        <v>5.41</v>
      </c>
      <c r="H653" s="7"/>
    </row>
    <row r="654" ht="15.3" hidden="1" spans="1:8">
      <c r="A654" s="7" t="s">
        <v>27</v>
      </c>
      <c r="B654" s="8">
        <v>45958</v>
      </c>
      <c r="C654" s="10">
        <v>5</v>
      </c>
      <c r="D654" s="7">
        <v>14.3</v>
      </c>
      <c r="E654" s="7" t="s">
        <v>16</v>
      </c>
      <c r="F654" s="7">
        <v>0</v>
      </c>
      <c r="G654" s="7">
        <v>5.27</v>
      </c>
      <c r="H654" s="7"/>
    </row>
    <row r="655" ht="15.3" spans="1:8">
      <c r="A655" s="7" t="s">
        <v>27</v>
      </c>
      <c r="B655" s="8">
        <v>45958</v>
      </c>
      <c r="C655" s="10">
        <v>6</v>
      </c>
      <c r="D655" s="7">
        <v>14.45</v>
      </c>
      <c r="E655" s="7" t="s">
        <v>16</v>
      </c>
      <c r="F655" s="7">
        <v>0</v>
      </c>
      <c r="G655" s="7">
        <v>4.88</v>
      </c>
      <c r="H655" s="7"/>
    </row>
    <row r="656" ht="15.3" hidden="1" spans="1:8">
      <c r="A656" s="7" t="s">
        <v>27</v>
      </c>
      <c r="B656" s="8">
        <v>45958</v>
      </c>
      <c r="C656" s="10">
        <v>7</v>
      </c>
      <c r="D656" s="7">
        <v>14.55</v>
      </c>
      <c r="E656" s="7" t="s">
        <v>16</v>
      </c>
      <c r="F656" s="7">
        <v>0</v>
      </c>
      <c r="G656" s="7">
        <v>4.16</v>
      </c>
      <c r="H656" s="7"/>
    </row>
    <row r="657" ht="15.3" spans="1:8">
      <c r="A657" s="7" t="s">
        <v>27</v>
      </c>
      <c r="B657" s="8">
        <v>45958</v>
      </c>
      <c r="C657" s="10">
        <v>8</v>
      </c>
      <c r="D657" s="7">
        <v>14.45</v>
      </c>
      <c r="E657" s="7" t="s">
        <v>16</v>
      </c>
      <c r="F657" s="7">
        <v>0</v>
      </c>
      <c r="G657" s="7">
        <v>3.34</v>
      </c>
      <c r="H657" s="7"/>
    </row>
    <row r="658" ht="15.3" hidden="1" spans="1:8">
      <c r="A658" s="7" t="s">
        <v>27</v>
      </c>
      <c r="B658" s="8">
        <v>45958</v>
      </c>
      <c r="C658" s="10">
        <v>9</v>
      </c>
      <c r="D658" s="7">
        <v>14.75</v>
      </c>
      <c r="E658" s="7" t="s">
        <v>16</v>
      </c>
      <c r="F658" s="7">
        <v>0</v>
      </c>
      <c r="G658" s="7">
        <v>4.26</v>
      </c>
      <c r="H658" s="7"/>
    </row>
    <row r="659" ht="15.3" spans="1:8">
      <c r="A659" s="7" t="s">
        <v>27</v>
      </c>
      <c r="B659" s="8">
        <v>45958</v>
      </c>
      <c r="C659" s="10">
        <v>10</v>
      </c>
      <c r="D659" s="7">
        <v>14.85</v>
      </c>
      <c r="E659" s="7" t="s">
        <v>16</v>
      </c>
      <c r="F659" s="7">
        <v>0</v>
      </c>
      <c r="G659" s="7">
        <v>4.45</v>
      </c>
      <c r="H659" s="7"/>
    </row>
    <row r="660" ht="15.3" hidden="1" spans="1:8">
      <c r="A660" s="7" t="s">
        <v>27</v>
      </c>
      <c r="B660" s="8">
        <v>45958</v>
      </c>
      <c r="C660" s="10">
        <v>11</v>
      </c>
      <c r="D660" s="7">
        <v>14.9</v>
      </c>
      <c r="E660" s="7" t="s">
        <v>16</v>
      </c>
      <c r="F660" s="7">
        <v>0</v>
      </c>
      <c r="G660" s="7">
        <v>4.47</v>
      </c>
      <c r="H660" s="7"/>
    </row>
    <row r="661" ht="15.3" spans="1:8">
      <c r="A661" s="7" t="s">
        <v>27</v>
      </c>
      <c r="B661" s="8">
        <v>45958</v>
      </c>
      <c r="C661" s="10">
        <v>12</v>
      </c>
      <c r="D661" s="7">
        <v>15</v>
      </c>
      <c r="E661" s="7" t="s">
        <v>16</v>
      </c>
      <c r="F661" s="7">
        <v>0</v>
      </c>
      <c r="G661" s="7">
        <v>4.14</v>
      </c>
      <c r="H661" s="7"/>
    </row>
    <row r="662" ht="15.3" hidden="1" spans="1:8">
      <c r="A662" s="7" t="s">
        <v>27</v>
      </c>
      <c r="B662" s="8">
        <v>45958</v>
      </c>
      <c r="C662" s="10">
        <v>13</v>
      </c>
      <c r="D662" s="7">
        <v>15.1</v>
      </c>
      <c r="E662" s="7" t="s">
        <v>16</v>
      </c>
      <c r="F662" s="7">
        <v>0</v>
      </c>
      <c r="G662" s="7">
        <v>3.82</v>
      </c>
      <c r="H662" s="7"/>
    </row>
    <row r="663" ht="15.3" spans="1:8">
      <c r="A663" s="7" t="s">
        <v>27</v>
      </c>
      <c r="B663" s="8">
        <v>45958</v>
      </c>
      <c r="C663" s="10">
        <v>14</v>
      </c>
      <c r="D663" s="7">
        <v>15.2</v>
      </c>
      <c r="E663" s="7" t="s">
        <v>16</v>
      </c>
      <c r="F663" s="7">
        <v>0</v>
      </c>
      <c r="G663" s="7">
        <v>3.49</v>
      </c>
      <c r="H663" s="7"/>
    </row>
    <row r="664" ht="15.3" hidden="1" spans="1:8">
      <c r="A664" s="7" t="s">
        <v>27</v>
      </c>
      <c r="B664" s="8">
        <v>45958</v>
      </c>
      <c r="C664" s="10">
        <v>15</v>
      </c>
      <c r="D664" s="7">
        <v>15.2</v>
      </c>
      <c r="E664" s="7" t="s">
        <v>16</v>
      </c>
      <c r="F664" s="7">
        <v>0</v>
      </c>
      <c r="G664" s="7">
        <v>3.81</v>
      </c>
      <c r="H664" s="7"/>
    </row>
    <row r="665" ht="15.3" spans="1:8">
      <c r="A665" s="7" t="s">
        <v>27</v>
      </c>
      <c r="B665" s="8">
        <v>45958</v>
      </c>
      <c r="C665" s="10">
        <v>16</v>
      </c>
      <c r="D665" s="7">
        <v>15.35</v>
      </c>
      <c r="E665" s="7" t="s">
        <v>16</v>
      </c>
      <c r="F665" s="7">
        <v>0</v>
      </c>
      <c r="G665" s="7">
        <v>3.72</v>
      </c>
      <c r="H665" s="7"/>
    </row>
    <row r="666" ht="15.3" hidden="1" spans="1:8">
      <c r="A666" s="7" t="s">
        <v>27</v>
      </c>
      <c r="B666" s="8">
        <v>45958</v>
      </c>
      <c r="C666" s="10">
        <v>17</v>
      </c>
      <c r="D666" s="7">
        <v>15.5</v>
      </c>
      <c r="E666" s="7" t="s">
        <v>16</v>
      </c>
      <c r="F666" s="7">
        <v>0</v>
      </c>
      <c r="G666" s="7">
        <v>3.93</v>
      </c>
      <c r="H666" s="7"/>
    </row>
    <row r="667" ht="15.3" spans="1:8">
      <c r="A667" s="7" t="s">
        <v>27</v>
      </c>
      <c r="B667" s="8">
        <v>45958</v>
      </c>
      <c r="C667" s="10">
        <v>18</v>
      </c>
      <c r="D667" s="7">
        <v>15.6</v>
      </c>
      <c r="E667" s="7" t="s">
        <v>16</v>
      </c>
      <c r="F667" s="7">
        <v>0</v>
      </c>
      <c r="G667" s="7">
        <v>4.39</v>
      </c>
      <c r="H667" s="7"/>
    </row>
    <row r="668" ht="15.3" hidden="1" spans="1:8">
      <c r="A668" s="7" t="s">
        <v>27</v>
      </c>
      <c r="B668" s="8">
        <v>45958</v>
      </c>
      <c r="C668" s="10">
        <v>19</v>
      </c>
      <c r="D668" s="7">
        <v>15.9</v>
      </c>
      <c r="E668" s="7" t="s">
        <v>16</v>
      </c>
      <c r="F668" s="7">
        <v>0</v>
      </c>
      <c r="G668" s="7">
        <v>4</v>
      </c>
      <c r="H668" s="7"/>
    </row>
    <row r="669" ht="15.3" spans="1:8">
      <c r="A669" s="7" t="s">
        <v>27</v>
      </c>
      <c r="B669" s="8">
        <v>45958</v>
      </c>
      <c r="C669" s="10">
        <v>20</v>
      </c>
      <c r="D669" s="7">
        <v>16.15</v>
      </c>
      <c r="E669" s="7" t="s">
        <v>16</v>
      </c>
      <c r="F669" s="7">
        <v>0</v>
      </c>
      <c r="G669" s="7">
        <v>4.21</v>
      </c>
      <c r="H669" s="7"/>
    </row>
    <row r="670" ht="15.3" hidden="1" spans="1:8">
      <c r="A670" s="7" t="s">
        <v>27</v>
      </c>
      <c r="B670" s="8">
        <v>45958</v>
      </c>
      <c r="C670" s="10">
        <v>21</v>
      </c>
      <c r="D670" s="7">
        <v>16.3</v>
      </c>
      <c r="E670" s="7" t="s">
        <v>19</v>
      </c>
      <c r="F670" s="7">
        <v>0</v>
      </c>
      <c r="G670" s="7">
        <v>6.53</v>
      </c>
      <c r="H670" s="7"/>
    </row>
    <row r="671" ht="15.3" spans="1:8">
      <c r="A671" s="7" t="s">
        <v>27</v>
      </c>
      <c r="B671" s="8">
        <v>45958</v>
      </c>
      <c r="C671" s="10">
        <v>22</v>
      </c>
      <c r="D671" s="7">
        <v>15.6</v>
      </c>
      <c r="E671" s="7" t="s">
        <v>16</v>
      </c>
      <c r="F671" s="7">
        <v>0</v>
      </c>
      <c r="G671" s="7">
        <v>6.17</v>
      </c>
      <c r="H671" s="7"/>
    </row>
    <row r="672" ht="15.3" hidden="1" spans="1:8">
      <c r="A672" s="7" t="s">
        <v>27</v>
      </c>
      <c r="B672" s="8">
        <v>45958</v>
      </c>
      <c r="C672" s="10">
        <v>23</v>
      </c>
      <c r="D672" s="7">
        <v>15.75</v>
      </c>
      <c r="E672" s="7" t="s">
        <v>16</v>
      </c>
      <c r="F672" s="7">
        <v>0.2</v>
      </c>
      <c r="G672" s="7">
        <v>6.33</v>
      </c>
      <c r="H672" s="7"/>
    </row>
    <row r="673" ht="15.3" spans="1:8">
      <c r="A673" s="7" t="s">
        <v>27</v>
      </c>
      <c r="B673" s="8">
        <v>45958</v>
      </c>
      <c r="C673" s="10">
        <v>24</v>
      </c>
      <c r="D673" s="7">
        <v>15.95</v>
      </c>
      <c r="E673" s="7" t="s">
        <v>16</v>
      </c>
      <c r="F673" s="7">
        <v>0</v>
      </c>
      <c r="G673" s="7">
        <v>7.65</v>
      </c>
      <c r="H673" s="7"/>
    </row>
    <row r="674" ht="15.3" hidden="1" spans="1:8">
      <c r="A674" s="7" t="s">
        <v>27</v>
      </c>
      <c r="B674" s="8">
        <v>45959</v>
      </c>
      <c r="C674" s="10">
        <v>1</v>
      </c>
      <c r="D674" s="7">
        <v>15.95</v>
      </c>
      <c r="E674" s="7" t="s">
        <v>16</v>
      </c>
      <c r="F674" s="7">
        <v>0</v>
      </c>
      <c r="G674" s="7">
        <v>8.14</v>
      </c>
      <c r="H674" s="7"/>
    </row>
    <row r="675" ht="15.3" spans="1:8">
      <c r="A675" s="7" t="s">
        <v>27</v>
      </c>
      <c r="B675" s="8">
        <v>45959</v>
      </c>
      <c r="C675" s="10">
        <v>2</v>
      </c>
      <c r="D675" s="7">
        <v>15.95</v>
      </c>
      <c r="E675" s="7" t="s">
        <v>16</v>
      </c>
      <c r="F675" s="7">
        <v>0</v>
      </c>
      <c r="G675" s="7">
        <v>8.22</v>
      </c>
      <c r="H675" s="7"/>
    </row>
    <row r="676" ht="15.3" hidden="1" spans="1:8">
      <c r="A676" s="7" t="s">
        <v>27</v>
      </c>
      <c r="B676" s="8">
        <v>45959</v>
      </c>
      <c r="C676" s="10">
        <v>3</v>
      </c>
      <c r="D676" s="7">
        <v>15.6</v>
      </c>
      <c r="E676" s="7" t="s">
        <v>16</v>
      </c>
      <c r="F676" s="7">
        <v>0</v>
      </c>
      <c r="G676" s="7">
        <v>7.5</v>
      </c>
      <c r="H676" s="7"/>
    </row>
    <row r="677" ht="15.3" spans="1:8">
      <c r="A677" s="7" t="s">
        <v>27</v>
      </c>
      <c r="B677" s="8">
        <v>45959</v>
      </c>
      <c r="C677" s="10">
        <v>4</v>
      </c>
      <c r="D677" s="7">
        <v>15.45</v>
      </c>
      <c r="E677" s="7" t="s">
        <v>16</v>
      </c>
      <c r="F677" s="7">
        <v>0</v>
      </c>
      <c r="G677" s="7">
        <v>6.94</v>
      </c>
      <c r="H677" s="7"/>
    </row>
    <row r="678" ht="15.3" hidden="1" spans="1:8">
      <c r="A678" s="7" t="s">
        <v>27</v>
      </c>
      <c r="B678" s="8">
        <v>45959</v>
      </c>
      <c r="C678" s="10">
        <v>5</v>
      </c>
      <c r="D678" s="7">
        <v>15.4</v>
      </c>
      <c r="E678" s="7" t="s">
        <v>16</v>
      </c>
      <c r="F678" s="7">
        <v>0</v>
      </c>
      <c r="G678" s="7">
        <v>6.72</v>
      </c>
      <c r="H678" s="7"/>
    </row>
    <row r="679" ht="15.3" spans="1:8">
      <c r="A679" s="7" t="s">
        <v>27</v>
      </c>
      <c r="B679" s="8">
        <v>45959</v>
      </c>
      <c r="C679" s="10">
        <v>6</v>
      </c>
      <c r="D679" s="7">
        <v>15.45</v>
      </c>
      <c r="E679" s="7" t="s">
        <v>16</v>
      </c>
      <c r="F679" s="7">
        <v>0</v>
      </c>
      <c r="G679" s="7">
        <v>6.61</v>
      </c>
      <c r="H679" s="7"/>
    </row>
    <row r="680" ht="15.3" hidden="1" spans="1:8">
      <c r="A680" s="7" t="s">
        <v>27</v>
      </c>
      <c r="B680" s="8">
        <v>45959</v>
      </c>
      <c r="C680" s="10">
        <v>7</v>
      </c>
      <c r="D680" s="7">
        <v>15.45</v>
      </c>
      <c r="E680" s="7" t="s">
        <v>16</v>
      </c>
      <c r="F680" s="7">
        <v>0</v>
      </c>
      <c r="G680" s="7">
        <v>7.35</v>
      </c>
      <c r="H680" s="7"/>
    </row>
    <row r="681" ht="15.3" spans="1:8">
      <c r="A681" s="7" t="s">
        <v>27</v>
      </c>
      <c r="B681" s="8">
        <v>45959</v>
      </c>
      <c r="C681" s="10">
        <v>8</v>
      </c>
      <c r="D681" s="7">
        <v>15.4</v>
      </c>
      <c r="E681" s="7" t="s">
        <v>16</v>
      </c>
      <c r="F681" s="7">
        <v>0</v>
      </c>
      <c r="G681" s="7">
        <v>8.39</v>
      </c>
      <c r="H681" s="7"/>
    </row>
    <row r="682" ht="15.3" hidden="1" spans="1:8">
      <c r="A682" s="7" t="s">
        <v>27</v>
      </c>
      <c r="B682" s="8">
        <v>45959</v>
      </c>
      <c r="C682" s="10">
        <v>9</v>
      </c>
      <c r="D682" s="7">
        <v>15.7</v>
      </c>
      <c r="E682" s="7" t="s">
        <v>18</v>
      </c>
      <c r="F682" s="7">
        <v>0</v>
      </c>
      <c r="G682" s="7">
        <v>8.36</v>
      </c>
      <c r="H682" s="7"/>
    </row>
    <row r="683" ht="15.3" spans="1:8">
      <c r="A683" s="7" t="s">
        <v>27</v>
      </c>
      <c r="B683" s="8">
        <v>45959</v>
      </c>
      <c r="C683" s="10">
        <v>10</v>
      </c>
      <c r="D683" s="7">
        <v>15.8</v>
      </c>
      <c r="E683" s="7" t="s">
        <v>18</v>
      </c>
      <c r="F683" s="7">
        <v>0</v>
      </c>
      <c r="G683" s="7">
        <v>8.8</v>
      </c>
      <c r="H683" s="7"/>
    </row>
    <row r="684" ht="15.3" hidden="1" spans="1:8">
      <c r="A684" s="7" t="s">
        <v>27</v>
      </c>
      <c r="B684" s="8">
        <v>45959</v>
      </c>
      <c r="C684" s="10">
        <v>11</v>
      </c>
      <c r="D684" s="7">
        <v>15.75</v>
      </c>
      <c r="E684" s="7" t="s">
        <v>18</v>
      </c>
      <c r="F684" s="7">
        <v>0</v>
      </c>
      <c r="G684" s="7">
        <v>8.61</v>
      </c>
      <c r="H684" s="7"/>
    </row>
    <row r="685" ht="15.3" spans="1:8">
      <c r="A685" s="7" t="s">
        <v>27</v>
      </c>
      <c r="B685" s="8">
        <v>45959</v>
      </c>
      <c r="C685" s="10">
        <v>12</v>
      </c>
      <c r="D685" s="7">
        <v>15.7</v>
      </c>
      <c r="E685" s="7" t="s">
        <v>16</v>
      </c>
      <c r="F685" s="7">
        <v>0</v>
      </c>
      <c r="G685" s="7">
        <v>8.5</v>
      </c>
      <c r="H685" s="7"/>
    </row>
    <row r="686" ht="15.3" hidden="1" spans="1:8">
      <c r="A686" s="7" t="s">
        <v>27</v>
      </c>
      <c r="B686" s="8">
        <v>45959</v>
      </c>
      <c r="C686" s="10">
        <v>13</v>
      </c>
      <c r="D686" s="7">
        <v>15.7</v>
      </c>
      <c r="E686" s="7" t="s">
        <v>16</v>
      </c>
      <c r="F686" s="7">
        <v>0</v>
      </c>
      <c r="G686" s="7">
        <v>8.37</v>
      </c>
      <c r="H686" s="7"/>
    </row>
    <row r="687" ht="15.3" spans="1:8">
      <c r="A687" s="7" t="s">
        <v>27</v>
      </c>
      <c r="B687" s="8">
        <v>45959</v>
      </c>
      <c r="C687" s="10">
        <v>14</v>
      </c>
      <c r="D687" s="7">
        <v>15.9</v>
      </c>
      <c r="E687" s="7" t="s">
        <v>16</v>
      </c>
      <c r="F687" s="7">
        <v>0</v>
      </c>
      <c r="G687" s="7">
        <v>8.17</v>
      </c>
      <c r="H687" s="7"/>
    </row>
    <row r="688" ht="15.3" hidden="1" spans="1:8">
      <c r="A688" s="7" t="s">
        <v>27</v>
      </c>
      <c r="B688" s="8">
        <v>45959</v>
      </c>
      <c r="C688" s="10">
        <v>15</v>
      </c>
      <c r="D688" s="7">
        <v>16</v>
      </c>
      <c r="E688" s="7" t="s">
        <v>16</v>
      </c>
      <c r="F688" s="7">
        <v>0</v>
      </c>
      <c r="G688" s="7">
        <v>7.31</v>
      </c>
      <c r="H688" s="7"/>
    </row>
    <row r="689" ht="15.3" spans="1:8">
      <c r="A689" s="7" t="s">
        <v>27</v>
      </c>
      <c r="B689" s="8">
        <v>45959</v>
      </c>
      <c r="C689" s="10">
        <v>16</v>
      </c>
      <c r="D689" s="7">
        <v>16.3</v>
      </c>
      <c r="E689" s="7" t="s">
        <v>16</v>
      </c>
      <c r="F689" s="7">
        <v>0</v>
      </c>
      <c r="G689" s="7">
        <v>6.27</v>
      </c>
      <c r="H689" s="7"/>
    </row>
    <row r="690" ht="15.3" hidden="1" spans="1:8">
      <c r="A690" s="7" t="s">
        <v>27</v>
      </c>
      <c r="B690" s="8">
        <v>45959</v>
      </c>
      <c r="C690" s="10">
        <v>17</v>
      </c>
      <c r="D690" s="7">
        <v>16.6</v>
      </c>
      <c r="E690" s="7" t="s">
        <v>16</v>
      </c>
      <c r="F690" s="7">
        <v>0</v>
      </c>
      <c r="G690" s="7">
        <v>5.21</v>
      </c>
      <c r="H690" s="7"/>
    </row>
    <row r="691" ht="15.3" spans="1:8">
      <c r="A691" s="7" t="s">
        <v>27</v>
      </c>
      <c r="B691" s="8">
        <v>45959</v>
      </c>
      <c r="C691" s="10">
        <v>18</v>
      </c>
      <c r="D691" s="7">
        <v>16.7</v>
      </c>
      <c r="E691" s="7" t="s">
        <v>16</v>
      </c>
      <c r="F691" s="7">
        <v>0</v>
      </c>
      <c r="G691" s="7">
        <v>3.65</v>
      </c>
      <c r="H691" s="7"/>
    </row>
    <row r="692" ht="15.3" hidden="1" spans="1:8">
      <c r="A692" s="7" t="s">
        <v>27</v>
      </c>
      <c r="B692" s="8">
        <v>45959</v>
      </c>
      <c r="C692" s="10">
        <v>19</v>
      </c>
      <c r="D692" s="7">
        <v>16.8</v>
      </c>
      <c r="E692" s="7" t="s">
        <v>16</v>
      </c>
      <c r="F692" s="7">
        <v>0</v>
      </c>
      <c r="G692" s="7">
        <v>2.93</v>
      </c>
      <c r="H692" s="7"/>
    </row>
    <row r="693" ht="15.3" spans="1:8">
      <c r="A693" s="7" t="s">
        <v>27</v>
      </c>
      <c r="B693" s="8">
        <v>45959</v>
      </c>
      <c r="C693" s="10">
        <v>20</v>
      </c>
      <c r="D693" s="7">
        <v>16.75</v>
      </c>
      <c r="E693" s="7" t="s">
        <v>16</v>
      </c>
      <c r="F693" s="7">
        <v>0</v>
      </c>
      <c r="G693" s="7">
        <v>1.86</v>
      </c>
      <c r="H693" s="7"/>
    </row>
    <row r="694" ht="15.3" hidden="1" spans="1:8">
      <c r="A694" s="7" t="s">
        <v>27</v>
      </c>
      <c r="B694" s="8">
        <v>45959</v>
      </c>
      <c r="C694" s="10">
        <v>21</v>
      </c>
      <c r="D694" s="7">
        <v>17.25</v>
      </c>
      <c r="E694" s="7" t="s">
        <v>16</v>
      </c>
      <c r="F694" s="7">
        <v>0</v>
      </c>
      <c r="G694" s="7">
        <v>4.73</v>
      </c>
      <c r="H694" s="7"/>
    </row>
    <row r="695" ht="15.3" spans="1:8">
      <c r="A695" s="7" t="s">
        <v>27</v>
      </c>
      <c r="B695" s="8">
        <v>45959</v>
      </c>
      <c r="C695" s="10">
        <v>22</v>
      </c>
      <c r="D695" s="7">
        <v>17.05</v>
      </c>
      <c r="E695" s="7" t="s">
        <v>16</v>
      </c>
      <c r="F695" s="7">
        <v>0</v>
      </c>
      <c r="G695" s="7">
        <v>4.88</v>
      </c>
      <c r="H695" s="7"/>
    </row>
    <row r="696" ht="15.3" hidden="1" spans="1:8">
      <c r="A696" s="7" t="s">
        <v>27</v>
      </c>
      <c r="B696" s="8">
        <v>45959</v>
      </c>
      <c r="C696" s="10">
        <v>23</v>
      </c>
      <c r="D696" s="7">
        <v>16.8</v>
      </c>
      <c r="E696" s="7" t="s">
        <v>16</v>
      </c>
      <c r="F696" s="7">
        <v>0</v>
      </c>
      <c r="G696" s="7">
        <v>5.45</v>
      </c>
      <c r="H696" s="7"/>
    </row>
    <row r="697" ht="15.3" spans="1:8">
      <c r="A697" s="7" t="s">
        <v>27</v>
      </c>
      <c r="B697" s="8">
        <v>45959</v>
      </c>
      <c r="C697" s="10">
        <v>24</v>
      </c>
      <c r="D697" s="7">
        <v>16.6</v>
      </c>
      <c r="E697" s="7" t="s">
        <v>16</v>
      </c>
      <c r="F697" s="7">
        <v>0</v>
      </c>
      <c r="G697" s="7">
        <v>6.26</v>
      </c>
      <c r="H697" s="7"/>
    </row>
    <row r="698" ht="15.3" hidden="1" spans="1:8">
      <c r="A698" s="7" t="s">
        <v>27</v>
      </c>
      <c r="B698" s="8">
        <v>45960</v>
      </c>
      <c r="C698" s="10">
        <v>1</v>
      </c>
      <c r="D698" s="7">
        <v>16.35</v>
      </c>
      <c r="E698" s="7" t="s">
        <v>16</v>
      </c>
      <c r="F698" s="7">
        <v>0</v>
      </c>
      <c r="G698" s="7">
        <v>5.94</v>
      </c>
      <c r="H698" s="7"/>
    </row>
    <row r="699" ht="15.3" spans="1:8">
      <c r="A699" s="7" t="s">
        <v>27</v>
      </c>
      <c r="B699" s="8">
        <v>45960</v>
      </c>
      <c r="C699" s="10">
        <v>2</v>
      </c>
      <c r="D699" s="7">
        <v>16.2</v>
      </c>
      <c r="E699" s="7" t="s">
        <v>16</v>
      </c>
      <c r="F699" s="7">
        <v>0</v>
      </c>
      <c r="G699" s="7">
        <v>5.48</v>
      </c>
      <c r="H699" s="7"/>
    </row>
    <row r="700" ht="15.3" hidden="1" spans="1:8">
      <c r="A700" s="7" t="s">
        <v>27</v>
      </c>
      <c r="B700" s="8">
        <v>45960</v>
      </c>
      <c r="C700" s="10">
        <v>3</v>
      </c>
      <c r="D700" s="7">
        <v>16</v>
      </c>
      <c r="E700" s="7" t="s">
        <v>16</v>
      </c>
      <c r="F700" s="7">
        <v>0</v>
      </c>
      <c r="G700" s="7">
        <v>5.42</v>
      </c>
      <c r="H700" s="7"/>
    </row>
    <row r="701" ht="15.3" spans="1:8">
      <c r="A701" s="7" t="s">
        <v>27</v>
      </c>
      <c r="B701" s="8">
        <v>45960</v>
      </c>
      <c r="C701" s="10">
        <v>4</v>
      </c>
      <c r="D701" s="7">
        <v>16.05</v>
      </c>
      <c r="E701" s="7" t="s">
        <v>16</v>
      </c>
      <c r="F701" s="7">
        <v>0</v>
      </c>
      <c r="G701" s="7">
        <v>4.87</v>
      </c>
      <c r="H701" s="7"/>
    </row>
    <row r="702" ht="15.3" hidden="1" spans="1:8">
      <c r="A702" s="7" t="s">
        <v>27</v>
      </c>
      <c r="B702" s="8">
        <v>45960</v>
      </c>
      <c r="C702" s="10">
        <v>5</v>
      </c>
      <c r="D702" s="7">
        <v>16.1</v>
      </c>
      <c r="E702" s="7" t="s">
        <v>16</v>
      </c>
      <c r="F702" s="7">
        <v>0</v>
      </c>
      <c r="G702" s="7">
        <v>4.21</v>
      </c>
      <c r="H702" s="7"/>
    </row>
    <row r="703" ht="15.3" spans="1:8">
      <c r="A703" s="7" t="s">
        <v>27</v>
      </c>
      <c r="B703" s="8">
        <v>45960</v>
      </c>
      <c r="C703" s="10">
        <v>6</v>
      </c>
      <c r="D703" s="7">
        <v>16</v>
      </c>
      <c r="E703" s="7" t="s">
        <v>16</v>
      </c>
      <c r="F703" s="7">
        <v>0</v>
      </c>
      <c r="G703" s="7">
        <v>3.43</v>
      </c>
      <c r="H703" s="7"/>
    </row>
    <row r="704" ht="15.3" hidden="1" spans="1:8">
      <c r="A704" s="7" t="s">
        <v>27</v>
      </c>
      <c r="B704" s="8">
        <v>45960</v>
      </c>
      <c r="C704" s="10">
        <v>7</v>
      </c>
      <c r="D704" s="7">
        <v>15.8</v>
      </c>
      <c r="E704" s="7" t="s">
        <v>16</v>
      </c>
      <c r="F704" s="7">
        <v>0</v>
      </c>
      <c r="G704" s="7">
        <v>2.89</v>
      </c>
      <c r="H704" s="7"/>
    </row>
    <row r="705" ht="15.3" spans="1:8">
      <c r="A705" s="7" t="s">
        <v>27</v>
      </c>
      <c r="B705" s="8">
        <v>45960</v>
      </c>
      <c r="C705" s="10">
        <v>8</v>
      </c>
      <c r="D705" s="7">
        <v>15.45</v>
      </c>
      <c r="E705" s="7" t="s">
        <v>16</v>
      </c>
      <c r="F705" s="7">
        <v>0</v>
      </c>
      <c r="G705" s="7">
        <v>1.46</v>
      </c>
      <c r="H705" s="7"/>
    </row>
    <row r="706" ht="15.3" hidden="1" spans="1:8">
      <c r="A706" s="7" t="s">
        <v>27</v>
      </c>
      <c r="B706" s="8">
        <v>45960</v>
      </c>
      <c r="C706" s="10">
        <v>9</v>
      </c>
      <c r="D706" s="7">
        <v>15.5</v>
      </c>
      <c r="E706" s="7" t="s">
        <v>16</v>
      </c>
      <c r="F706" s="7">
        <v>0</v>
      </c>
      <c r="G706" s="7">
        <v>1.14</v>
      </c>
      <c r="H706" s="7"/>
    </row>
    <row r="707" ht="15.3" spans="1:8">
      <c r="A707" s="7" t="s">
        <v>27</v>
      </c>
      <c r="B707" s="8">
        <v>45960</v>
      </c>
      <c r="C707" s="10">
        <v>10</v>
      </c>
      <c r="D707" s="7">
        <v>15.35</v>
      </c>
      <c r="E707" s="7" t="s">
        <v>16</v>
      </c>
      <c r="F707" s="7">
        <v>0</v>
      </c>
      <c r="G707" s="7">
        <v>3.2</v>
      </c>
      <c r="H707" s="7"/>
    </row>
    <row r="708" ht="15.3" hidden="1" spans="1:8">
      <c r="A708" s="7" t="s">
        <v>27</v>
      </c>
      <c r="B708" s="8">
        <v>45960</v>
      </c>
      <c r="C708" s="10">
        <v>11</v>
      </c>
      <c r="D708" s="7">
        <v>14.65</v>
      </c>
      <c r="E708" s="7" t="s">
        <v>18</v>
      </c>
      <c r="F708" s="7">
        <v>0.1</v>
      </c>
      <c r="G708" s="7">
        <v>8.08</v>
      </c>
      <c r="H708" s="7"/>
    </row>
    <row r="709" ht="15.3" spans="1:8">
      <c r="A709" s="7" t="s">
        <v>27</v>
      </c>
      <c r="B709" s="8">
        <v>45960</v>
      </c>
      <c r="C709" s="10">
        <v>12</v>
      </c>
      <c r="D709" s="7">
        <v>14.45</v>
      </c>
      <c r="E709" s="7" t="s">
        <v>17</v>
      </c>
      <c r="F709" s="7">
        <v>0.9</v>
      </c>
      <c r="G709" s="7">
        <v>9.24</v>
      </c>
      <c r="H709" s="7"/>
    </row>
    <row r="710" ht="15.3" hidden="1" spans="1:8">
      <c r="A710" s="7" t="s">
        <v>27</v>
      </c>
      <c r="B710" s="8">
        <v>45960</v>
      </c>
      <c r="C710" s="10">
        <v>13</v>
      </c>
      <c r="D710" s="7">
        <v>14.1</v>
      </c>
      <c r="E710" s="7" t="s">
        <v>17</v>
      </c>
      <c r="F710" s="7">
        <v>0.4</v>
      </c>
      <c r="G710" s="7">
        <v>10.19</v>
      </c>
      <c r="H710" s="7"/>
    </row>
    <row r="711" ht="15.3" spans="1:8">
      <c r="A711" s="7" t="s">
        <v>27</v>
      </c>
      <c r="B711" s="8">
        <v>45960</v>
      </c>
      <c r="C711" s="10">
        <v>14</v>
      </c>
      <c r="D711" s="7">
        <v>13.4</v>
      </c>
      <c r="E711" s="7" t="s">
        <v>17</v>
      </c>
      <c r="F711" s="7">
        <v>0.5</v>
      </c>
      <c r="G711" s="7">
        <v>10.17</v>
      </c>
      <c r="H711" s="7"/>
    </row>
    <row r="712" ht="15.3" hidden="1" spans="1:8">
      <c r="A712" s="7" t="s">
        <v>27</v>
      </c>
      <c r="B712" s="8">
        <v>45960</v>
      </c>
      <c r="C712" s="10">
        <v>15</v>
      </c>
      <c r="D712" s="7">
        <v>13.55</v>
      </c>
      <c r="E712" s="7" t="s">
        <v>16</v>
      </c>
      <c r="F712" s="7">
        <v>0.3</v>
      </c>
      <c r="G712" s="7">
        <v>10.1</v>
      </c>
      <c r="H712" s="7"/>
    </row>
    <row r="713" ht="15.3" spans="1:8">
      <c r="A713" s="7" t="s">
        <v>27</v>
      </c>
      <c r="B713" s="8">
        <v>45960</v>
      </c>
      <c r="C713" s="10">
        <v>16</v>
      </c>
      <c r="D713" s="7">
        <v>13.55</v>
      </c>
      <c r="E713" s="7" t="s">
        <v>17</v>
      </c>
      <c r="F713" s="7">
        <v>0.5</v>
      </c>
      <c r="G713" s="7">
        <v>9.71</v>
      </c>
      <c r="H713" s="7"/>
    </row>
    <row r="714" ht="15.3" hidden="1" spans="1:8">
      <c r="A714" s="7" t="s">
        <v>27</v>
      </c>
      <c r="B714" s="8">
        <v>45960</v>
      </c>
      <c r="C714" s="10">
        <v>17</v>
      </c>
      <c r="D714" s="7">
        <v>13.35</v>
      </c>
      <c r="E714" s="7" t="s">
        <v>17</v>
      </c>
      <c r="F714" s="7">
        <v>0.4</v>
      </c>
      <c r="G714" s="7">
        <v>9.77</v>
      </c>
      <c r="H714" s="7"/>
    </row>
    <row r="715" ht="15.3" spans="1:8">
      <c r="A715" s="7" t="s">
        <v>27</v>
      </c>
      <c r="B715" s="8">
        <v>45960</v>
      </c>
      <c r="C715" s="10">
        <v>18</v>
      </c>
      <c r="D715" s="7">
        <v>13.5</v>
      </c>
      <c r="E715" s="7" t="s">
        <v>16</v>
      </c>
      <c r="F715" s="7">
        <v>0.1</v>
      </c>
      <c r="G715" s="7">
        <v>9</v>
      </c>
      <c r="H715" s="7"/>
    </row>
    <row r="716" ht="15.3" hidden="1" spans="1:8">
      <c r="A716" s="7" t="s">
        <v>27</v>
      </c>
      <c r="B716" s="8">
        <v>45960</v>
      </c>
      <c r="C716" s="10">
        <v>19</v>
      </c>
      <c r="D716" s="7">
        <v>13.5</v>
      </c>
      <c r="E716" s="7" t="s">
        <v>18</v>
      </c>
      <c r="F716" s="7">
        <v>0</v>
      </c>
      <c r="G716" s="7">
        <v>8.75</v>
      </c>
      <c r="H716" s="7"/>
    </row>
    <row r="717" ht="15.3" spans="1:8">
      <c r="A717" s="7" t="s">
        <v>27</v>
      </c>
      <c r="B717" s="8">
        <v>45960</v>
      </c>
      <c r="C717" s="10">
        <v>20</v>
      </c>
      <c r="D717" s="7">
        <v>13.55</v>
      </c>
      <c r="E717" s="7" t="s">
        <v>18</v>
      </c>
      <c r="F717" s="7">
        <v>0</v>
      </c>
      <c r="G717" s="7">
        <v>8</v>
      </c>
      <c r="H717" s="7"/>
    </row>
    <row r="718" ht="15.3" hidden="1" spans="1:8">
      <c r="A718" s="7" t="s">
        <v>27</v>
      </c>
      <c r="B718" s="8">
        <v>45960</v>
      </c>
      <c r="C718" s="10">
        <v>21</v>
      </c>
      <c r="D718" s="7">
        <v>13.5</v>
      </c>
      <c r="E718" s="7" t="s">
        <v>16</v>
      </c>
      <c r="F718" s="7">
        <v>0</v>
      </c>
      <c r="G718" s="7">
        <v>7.4</v>
      </c>
      <c r="H718" s="7"/>
    </row>
    <row r="719" ht="15.3" spans="1:8">
      <c r="A719" s="7" t="s">
        <v>27</v>
      </c>
      <c r="B719" s="8">
        <v>45960</v>
      </c>
      <c r="C719" s="10">
        <v>22</v>
      </c>
      <c r="D719" s="7">
        <v>13.4</v>
      </c>
      <c r="E719" s="7" t="s">
        <v>16</v>
      </c>
      <c r="F719" s="7">
        <v>0.2</v>
      </c>
      <c r="G719" s="7">
        <v>7.49</v>
      </c>
      <c r="H719" s="7"/>
    </row>
    <row r="720" ht="15.3" hidden="1" spans="1:8">
      <c r="A720" s="7" t="s">
        <v>27</v>
      </c>
      <c r="B720" s="8">
        <v>45960</v>
      </c>
      <c r="C720" s="10">
        <v>23</v>
      </c>
      <c r="D720" s="7">
        <v>13.25</v>
      </c>
      <c r="E720" s="7" t="s">
        <v>18</v>
      </c>
      <c r="F720" s="7">
        <v>0.1</v>
      </c>
      <c r="G720" s="7">
        <v>7.53</v>
      </c>
      <c r="H720" s="7"/>
    </row>
    <row r="721" ht="15.3" spans="1:8">
      <c r="A721" s="7" t="s">
        <v>27</v>
      </c>
      <c r="B721" s="8">
        <v>45960</v>
      </c>
      <c r="C721" s="10">
        <v>24</v>
      </c>
      <c r="D721" s="7">
        <v>13.15</v>
      </c>
      <c r="E721" s="7" t="s">
        <v>16</v>
      </c>
      <c r="F721" s="7">
        <v>0.1</v>
      </c>
      <c r="G721" s="7">
        <v>7.35</v>
      </c>
      <c r="H721" s="7"/>
    </row>
    <row r="722" ht="15.3" hidden="1" spans="1:8">
      <c r="A722" s="7" t="s">
        <v>27</v>
      </c>
      <c r="B722" s="8">
        <v>45961</v>
      </c>
      <c r="C722" s="10">
        <v>1</v>
      </c>
      <c r="D722" s="7">
        <v>13.1</v>
      </c>
      <c r="E722" s="7" t="s">
        <v>19</v>
      </c>
      <c r="F722" s="7">
        <v>0</v>
      </c>
      <c r="G722" s="7">
        <v>7.17</v>
      </c>
      <c r="H722" s="7"/>
    </row>
    <row r="723" ht="15.3" spans="1:8">
      <c r="A723" s="7" t="s">
        <v>27</v>
      </c>
      <c r="B723" s="8">
        <v>45961</v>
      </c>
      <c r="C723" s="10">
        <v>2</v>
      </c>
      <c r="D723" s="7">
        <v>13.15</v>
      </c>
      <c r="E723" s="7" t="s">
        <v>16</v>
      </c>
      <c r="F723" s="7">
        <v>0</v>
      </c>
      <c r="G723" s="7">
        <v>6.69</v>
      </c>
      <c r="H723" s="7"/>
    </row>
    <row r="724" ht="15.3" hidden="1" spans="1:8">
      <c r="A724" s="7" t="s">
        <v>27</v>
      </c>
      <c r="B724" s="8">
        <v>45961</v>
      </c>
      <c r="C724" s="10">
        <v>3</v>
      </c>
      <c r="D724" s="7">
        <v>12.9</v>
      </c>
      <c r="E724" s="7" t="s">
        <v>16</v>
      </c>
      <c r="F724" s="7">
        <v>0</v>
      </c>
      <c r="G724" s="7">
        <v>6.5</v>
      </c>
      <c r="H724" s="7"/>
    </row>
    <row r="725" ht="15.3" spans="1:8">
      <c r="A725" s="7" t="s">
        <v>27</v>
      </c>
      <c r="B725" s="8">
        <v>45961</v>
      </c>
      <c r="C725" s="10">
        <v>4</v>
      </c>
      <c r="D725" s="7">
        <v>12.4</v>
      </c>
      <c r="E725" s="7" t="s">
        <v>16</v>
      </c>
      <c r="F725" s="7">
        <v>0</v>
      </c>
      <c r="G725" s="7">
        <v>6.44</v>
      </c>
      <c r="H725" s="7"/>
    </row>
    <row r="726" ht="15.3" hidden="1" spans="1:8">
      <c r="A726" s="7" t="s">
        <v>27</v>
      </c>
      <c r="B726" s="8">
        <v>45961</v>
      </c>
      <c r="C726" s="10">
        <v>5</v>
      </c>
      <c r="D726" s="7">
        <v>11.95</v>
      </c>
      <c r="E726" s="7" t="s">
        <v>16</v>
      </c>
      <c r="F726" s="7">
        <v>0</v>
      </c>
      <c r="G726" s="7">
        <v>6.66</v>
      </c>
      <c r="H726" s="7"/>
    </row>
    <row r="727" ht="15.3" spans="1:8">
      <c r="A727" s="7" t="s">
        <v>27</v>
      </c>
      <c r="B727" s="8">
        <v>45961</v>
      </c>
      <c r="C727" s="10">
        <v>6</v>
      </c>
      <c r="D727" s="7">
        <v>11.95</v>
      </c>
      <c r="E727" s="7" t="s">
        <v>16</v>
      </c>
      <c r="F727" s="7">
        <v>0</v>
      </c>
      <c r="G727" s="7">
        <v>6.75</v>
      </c>
      <c r="H727" s="7"/>
    </row>
    <row r="728" ht="15.3" hidden="1" spans="1:8">
      <c r="A728" s="7" t="s">
        <v>27</v>
      </c>
      <c r="B728" s="8">
        <v>45961</v>
      </c>
      <c r="C728" s="10">
        <v>7</v>
      </c>
      <c r="D728" s="7">
        <v>12</v>
      </c>
      <c r="E728" s="7" t="s">
        <v>16</v>
      </c>
      <c r="F728" s="7">
        <v>0</v>
      </c>
      <c r="G728" s="7">
        <v>6.6</v>
      </c>
      <c r="H728" s="7"/>
    </row>
    <row r="729" ht="15.3" spans="1:8">
      <c r="A729" s="7" t="s">
        <v>27</v>
      </c>
      <c r="B729" s="8">
        <v>45961</v>
      </c>
      <c r="C729" s="10">
        <v>8</v>
      </c>
      <c r="D729" s="7">
        <v>11.95</v>
      </c>
      <c r="E729" s="7" t="s">
        <v>16</v>
      </c>
      <c r="F729" s="7">
        <v>0</v>
      </c>
      <c r="G729" s="7">
        <v>5.96</v>
      </c>
      <c r="H729" s="7"/>
    </row>
    <row r="730" ht="15.3" hidden="1" spans="1:8">
      <c r="A730" s="7" t="s">
        <v>27</v>
      </c>
      <c r="B730" s="8">
        <v>45961</v>
      </c>
      <c r="C730" s="10">
        <v>9</v>
      </c>
      <c r="D730" s="7">
        <v>11.65</v>
      </c>
      <c r="E730" s="7" t="s">
        <v>16</v>
      </c>
      <c r="F730" s="7">
        <v>0</v>
      </c>
      <c r="G730" s="7">
        <v>5.53</v>
      </c>
      <c r="H730" s="7"/>
    </row>
    <row r="731" ht="15.3" spans="1:8">
      <c r="A731" s="7" t="s">
        <v>27</v>
      </c>
      <c r="B731" s="8">
        <v>45961</v>
      </c>
      <c r="C731" s="10">
        <v>10</v>
      </c>
      <c r="D731" s="7">
        <v>11.75</v>
      </c>
      <c r="E731" s="7" t="s">
        <v>16</v>
      </c>
      <c r="F731" s="7">
        <v>0</v>
      </c>
      <c r="G731" s="7">
        <v>5.07</v>
      </c>
      <c r="H731" s="7"/>
    </row>
    <row r="732" ht="15.3" hidden="1" spans="1:8">
      <c r="A732" s="7" t="s">
        <v>27</v>
      </c>
      <c r="B732" s="8">
        <v>45961</v>
      </c>
      <c r="C732" s="10">
        <v>11</v>
      </c>
      <c r="D732" s="7">
        <v>12.1</v>
      </c>
      <c r="E732" s="7" t="s">
        <v>16</v>
      </c>
      <c r="F732" s="7">
        <v>0</v>
      </c>
      <c r="G732" s="7">
        <v>4.25</v>
      </c>
      <c r="H732" s="7"/>
    </row>
    <row r="733" ht="15.3" spans="1:8">
      <c r="A733" s="7" t="s">
        <v>27</v>
      </c>
      <c r="B733" s="8">
        <v>45961</v>
      </c>
      <c r="C733" s="10">
        <v>12</v>
      </c>
      <c r="D733" s="7">
        <v>12.4</v>
      </c>
      <c r="E733" s="7" t="s">
        <v>16</v>
      </c>
      <c r="F733" s="7">
        <v>0</v>
      </c>
      <c r="G733" s="7">
        <v>3</v>
      </c>
      <c r="H733" s="7"/>
    </row>
    <row r="734" ht="15.3" hidden="1" spans="1:8">
      <c r="A734" s="7" t="s">
        <v>27</v>
      </c>
      <c r="B734" s="8">
        <v>45961</v>
      </c>
      <c r="C734" s="10">
        <v>13</v>
      </c>
      <c r="D734" s="7">
        <v>12.65</v>
      </c>
      <c r="E734" s="7" t="s">
        <v>16</v>
      </c>
      <c r="F734" s="7">
        <v>0</v>
      </c>
      <c r="G734" s="7">
        <v>2.72</v>
      </c>
      <c r="H734" s="7"/>
    </row>
    <row r="735" ht="15.3" spans="1:8">
      <c r="A735" s="7" t="s">
        <v>27</v>
      </c>
      <c r="B735" s="8">
        <v>45961</v>
      </c>
      <c r="C735" s="10">
        <v>14</v>
      </c>
      <c r="D735" s="7">
        <v>12.8</v>
      </c>
      <c r="E735" s="7" t="s">
        <v>16</v>
      </c>
      <c r="F735" s="7">
        <v>0</v>
      </c>
      <c r="G735" s="7">
        <v>3.6</v>
      </c>
      <c r="H735" s="7"/>
    </row>
    <row r="736" ht="15.3" hidden="1" spans="1:8">
      <c r="A736" s="7" t="s">
        <v>27</v>
      </c>
      <c r="B736" s="8">
        <v>45961</v>
      </c>
      <c r="C736" s="10">
        <v>15</v>
      </c>
      <c r="D736" s="7">
        <v>12.75</v>
      </c>
      <c r="E736" s="7" t="s">
        <v>16</v>
      </c>
      <c r="F736" s="7">
        <v>0</v>
      </c>
      <c r="G736" s="7">
        <v>4.62</v>
      </c>
      <c r="H736" s="7"/>
    </row>
    <row r="737" ht="15.3" spans="1:8">
      <c r="A737" s="7" t="s">
        <v>27</v>
      </c>
      <c r="B737" s="8">
        <v>45961</v>
      </c>
      <c r="C737" s="10">
        <v>16</v>
      </c>
      <c r="D737" s="7">
        <v>12.9</v>
      </c>
      <c r="E737" s="7" t="s">
        <v>16</v>
      </c>
      <c r="F737" s="7">
        <v>0</v>
      </c>
      <c r="G737" s="7">
        <v>5.36</v>
      </c>
      <c r="H737" s="7"/>
    </row>
    <row r="738" ht="15.3" hidden="1" spans="1:8">
      <c r="A738" s="7" t="s">
        <v>27</v>
      </c>
      <c r="B738" s="8">
        <v>45961</v>
      </c>
      <c r="C738" s="10">
        <v>17</v>
      </c>
      <c r="D738" s="7">
        <v>13.2</v>
      </c>
      <c r="E738" s="7" t="s">
        <v>16</v>
      </c>
      <c r="F738" s="7">
        <v>0</v>
      </c>
      <c r="G738" s="7">
        <v>6.11</v>
      </c>
      <c r="H738" s="7"/>
    </row>
    <row r="739" ht="15.3" spans="1:8">
      <c r="A739" s="7" t="s">
        <v>27</v>
      </c>
      <c r="B739" s="8">
        <v>45961</v>
      </c>
      <c r="C739" s="10">
        <v>18</v>
      </c>
      <c r="D739" s="7">
        <v>13.4</v>
      </c>
      <c r="E739" s="7" t="s">
        <v>16</v>
      </c>
      <c r="F739" s="7">
        <v>0</v>
      </c>
      <c r="G739" s="7">
        <v>6.2</v>
      </c>
      <c r="H739" s="7"/>
    </row>
    <row r="740" ht="15.3" hidden="1" spans="1:8">
      <c r="A740" s="7" t="s">
        <v>27</v>
      </c>
      <c r="B740" s="8">
        <v>45961</v>
      </c>
      <c r="C740" s="10">
        <v>19</v>
      </c>
      <c r="D740" s="7">
        <v>13.75</v>
      </c>
      <c r="E740" s="7" t="s">
        <v>16</v>
      </c>
      <c r="F740" s="7">
        <v>0</v>
      </c>
      <c r="G740" s="7">
        <v>7.08</v>
      </c>
      <c r="H740" s="7"/>
    </row>
    <row r="741" ht="15.3" spans="1:8">
      <c r="A741" s="7" t="s">
        <v>27</v>
      </c>
      <c r="B741" s="8">
        <v>45961</v>
      </c>
      <c r="C741" s="10">
        <v>20</v>
      </c>
      <c r="D741" s="7">
        <v>14.35</v>
      </c>
      <c r="E741" s="7" t="s">
        <v>16</v>
      </c>
      <c r="F741" s="7">
        <v>0</v>
      </c>
      <c r="G741" s="7">
        <v>7.85</v>
      </c>
      <c r="H741" s="7"/>
    </row>
    <row r="742" ht="15.3" hidden="1" spans="1:8">
      <c r="A742" s="7" t="s">
        <v>27</v>
      </c>
      <c r="B742" s="8">
        <v>45961</v>
      </c>
      <c r="C742" s="10">
        <v>21</v>
      </c>
      <c r="D742" s="7">
        <v>14.6</v>
      </c>
      <c r="E742" s="7" t="s">
        <v>16</v>
      </c>
      <c r="F742" s="7">
        <v>0</v>
      </c>
      <c r="G742" s="7">
        <v>7.29</v>
      </c>
      <c r="H742" s="7"/>
    </row>
    <row r="743" ht="15.3" spans="1:8">
      <c r="A743" s="7" t="s">
        <v>27</v>
      </c>
      <c r="B743" s="8">
        <v>45961</v>
      </c>
      <c r="C743" s="10">
        <v>22</v>
      </c>
      <c r="D743" s="7">
        <v>14.5</v>
      </c>
      <c r="E743" s="7" t="s">
        <v>16</v>
      </c>
      <c r="F743" s="7">
        <v>0</v>
      </c>
      <c r="G743" s="7">
        <v>7.84</v>
      </c>
      <c r="H743" s="7"/>
    </row>
    <row r="744" ht="15.3" hidden="1" spans="1:8">
      <c r="A744" s="7" t="s">
        <v>27</v>
      </c>
      <c r="B744" s="8">
        <v>45961</v>
      </c>
      <c r="C744" s="10">
        <v>23</v>
      </c>
      <c r="D744" s="7">
        <v>14.35</v>
      </c>
      <c r="E744" s="7" t="s">
        <v>16</v>
      </c>
      <c r="F744" s="7">
        <v>0</v>
      </c>
      <c r="G744" s="7">
        <v>8.77</v>
      </c>
      <c r="H744" s="7"/>
    </row>
    <row r="745" ht="15.3" spans="1:8">
      <c r="A745" s="7" t="s">
        <v>27</v>
      </c>
      <c r="B745" s="8">
        <v>45961</v>
      </c>
      <c r="C745" s="10">
        <v>24</v>
      </c>
      <c r="D745" s="7">
        <v>13.65</v>
      </c>
      <c r="E745" s="7" t="s">
        <v>16</v>
      </c>
      <c r="F745" s="7">
        <v>0</v>
      </c>
      <c r="G745" s="7">
        <v>8.79</v>
      </c>
      <c r="H745" s="7"/>
    </row>
    <row r="746" ht="15.3" spans="1:8">
      <c r="A746" s="7"/>
      <c r="B746" s="8"/>
      <c r="C746" s="10"/>
      <c r="D746" s="7"/>
      <c r="E746" s="7"/>
      <c r="F746" s="7"/>
      <c r="G746" s="7"/>
      <c r="H746" s="7"/>
    </row>
  </sheetData>
  <autoFilter xmlns:etc="http://www.wps.cn/officeDocument/2017/etCustomData" ref="A1:H745" etc:filterBottomFollowUsedRange="0">
    <filterColumn colId="2">
      <filters>
        <filter val="10"/>
        <filter val="20"/>
        <filter val="2"/>
        <filter val="12"/>
        <filter val="22"/>
        <filter val="4"/>
        <filter val="14"/>
        <filter val="24"/>
        <filter val="6"/>
        <filter val="16"/>
        <filter val="8"/>
        <filter val="18"/>
      </filters>
    </filterColumn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48576"/>
  <sheetViews>
    <sheetView workbookViewId="0">
      <selection activeCell="A1" sqref="$A1:$XFD1048204"/>
    </sheetView>
  </sheetViews>
  <sheetFormatPr defaultColWidth="8.89380530973451" defaultRowHeight="14.3" outlineLevelCol="6"/>
  <cols>
    <col min="1" max="2" width="8.89380530973451" style="7"/>
    <col min="3" max="3" width="8.89380530973451" style="8"/>
    <col min="4" max="16384" width="8.89380530973451" style="7"/>
  </cols>
  <sheetData>
    <row r="1" s="7" customFormat="1" ht="15.3" spans="1:7">
      <c r="A1" s="7" t="s">
        <v>22</v>
      </c>
      <c r="B1" s="7" t="s">
        <v>0</v>
      </c>
      <c r="C1" s="8"/>
      <c r="D1" s="7" t="s">
        <v>24</v>
      </c>
      <c r="E1" s="7" t="s">
        <v>7</v>
      </c>
      <c r="F1" s="7" t="s">
        <v>28</v>
      </c>
      <c r="G1" s="7" t="s">
        <v>26</v>
      </c>
    </row>
    <row r="2" s="7" customFormat="1" ht="15.3" spans="1:7">
      <c r="A2" s="7" t="s">
        <v>29</v>
      </c>
      <c r="B2" s="9">
        <v>45931</v>
      </c>
      <c r="C2" s="10">
        <v>2</v>
      </c>
      <c r="D2" s="7">
        <v>20.61</v>
      </c>
      <c r="E2" s="7" t="s">
        <v>16</v>
      </c>
      <c r="F2" s="7">
        <v>0</v>
      </c>
      <c r="G2" s="7">
        <v>3.47</v>
      </c>
    </row>
    <row r="3" s="7" customFormat="1" ht="15.3" spans="1:7">
      <c r="A3" s="7" t="s">
        <v>29</v>
      </c>
      <c r="B3" s="9">
        <v>45931</v>
      </c>
      <c r="C3" s="10">
        <v>4</v>
      </c>
      <c r="D3" s="7">
        <v>19.91</v>
      </c>
      <c r="E3" s="7" t="s">
        <v>16</v>
      </c>
      <c r="F3" s="7">
        <v>0</v>
      </c>
      <c r="G3" s="7">
        <v>3.02</v>
      </c>
    </row>
    <row r="4" s="7" customFormat="1" ht="15.3" spans="1:7">
      <c r="A4" s="7" t="s">
        <v>29</v>
      </c>
      <c r="B4" s="9">
        <v>45931</v>
      </c>
      <c r="C4" s="10">
        <v>6</v>
      </c>
      <c r="D4" s="7">
        <v>19.61</v>
      </c>
      <c r="E4" s="7" t="s">
        <v>16</v>
      </c>
      <c r="F4" s="7">
        <v>0</v>
      </c>
      <c r="G4" s="7">
        <v>3.34</v>
      </c>
    </row>
    <row r="5" s="7" customFormat="1" ht="15.3" spans="1:7">
      <c r="A5" s="7" t="s">
        <v>29</v>
      </c>
      <c r="B5" s="9">
        <v>45931</v>
      </c>
      <c r="C5" s="10">
        <v>8</v>
      </c>
      <c r="D5" s="7">
        <v>19.96</v>
      </c>
      <c r="E5" s="7" t="s">
        <v>16</v>
      </c>
      <c r="F5" s="7">
        <v>0</v>
      </c>
      <c r="G5" s="7">
        <v>3.79</v>
      </c>
    </row>
    <row r="6" s="7" customFormat="1" ht="15.3" spans="1:7">
      <c r="A6" s="7" t="s">
        <v>29</v>
      </c>
      <c r="B6" s="9">
        <v>45931</v>
      </c>
      <c r="C6" s="10">
        <v>10</v>
      </c>
      <c r="D6" s="7">
        <v>23.71</v>
      </c>
      <c r="E6" s="7" t="s">
        <v>16</v>
      </c>
      <c r="F6" s="7">
        <v>0</v>
      </c>
      <c r="G6" s="7">
        <v>3.49</v>
      </c>
    </row>
    <row r="7" s="7" customFormat="1" ht="15.3" spans="1:7">
      <c r="A7" s="7" t="s">
        <v>29</v>
      </c>
      <c r="B7" s="9">
        <v>45931</v>
      </c>
      <c r="C7" s="10">
        <v>12</v>
      </c>
      <c r="D7" s="7">
        <v>26.36</v>
      </c>
      <c r="E7" s="7" t="s">
        <v>16</v>
      </c>
      <c r="F7" s="7">
        <v>0</v>
      </c>
      <c r="G7" s="7">
        <v>3.35</v>
      </c>
    </row>
    <row r="8" s="7" customFormat="1" ht="15.3" spans="1:7">
      <c r="A8" s="7" t="s">
        <v>29</v>
      </c>
      <c r="B8" s="9">
        <v>45931</v>
      </c>
      <c r="C8" s="10">
        <v>14</v>
      </c>
      <c r="D8" s="7">
        <v>27.71</v>
      </c>
      <c r="E8" s="7" t="s">
        <v>16</v>
      </c>
      <c r="F8" s="7">
        <v>0</v>
      </c>
      <c r="G8" s="7">
        <v>2.26</v>
      </c>
    </row>
    <row r="9" s="7" customFormat="1" ht="15.3" spans="1:7">
      <c r="A9" s="7" t="s">
        <v>29</v>
      </c>
      <c r="B9" s="9">
        <v>45931</v>
      </c>
      <c r="C9" s="10">
        <v>16</v>
      </c>
      <c r="D9" s="7">
        <v>28.91</v>
      </c>
      <c r="E9" s="7" t="s">
        <v>16</v>
      </c>
      <c r="F9" s="7">
        <v>0</v>
      </c>
      <c r="G9" s="7">
        <v>1.42</v>
      </c>
    </row>
    <row r="10" s="7" customFormat="1" ht="15.3" spans="1:7">
      <c r="A10" s="7" t="s">
        <v>29</v>
      </c>
      <c r="B10" s="9">
        <v>45931</v>
      </c>
      <c r="C10" s="10">
        <v>18</v>
      </c>
      <c r="D10" s="7">
        <v>27.21</v>
      </c>
      <c r="E10" s="7" t="s">
        <v>16</v>
      </c>
      <c r="F10" s="7">
        <v>0</v>
      </c>
      <c r="G10" s="7">
        <v>1.12</v>
      </c>
    </row>
    <row r="11" s="7" customFormat="1" ht="15.3" spans="1:7">
      <c r="A11" s="7" t="s">
        <v>29</v>
      </c>
      <c r="B11" s="9">
        <v>45931</v>
      </c>
      <c r="C11" s="10">
        <v>20</v>
      </c>
      <c r="D11" s="7">
        <v>24.46</v>
      </c>
      <c r="E11" s="7" t="s">
        <v>16</v>
      </c>
      <c r="F11" s="7">
        <v>0</v>
      </c>
      <c r="G11" s="7">
        <v>4.28</v>
      </c>
    </row>
    <row r="12" s="7" customFormat="1" ht="15.3" spans="1:7">
      <c r="A12" s="7" t="s">
        <v>29</v>
      </c>
      <c r="B12" s="9">
        <v>45931</v>
      </c>
      <c r="C12" s="10">
        <v>22</v>
      </c>
      <c r="D12" s="7">
        <v>23.61</v>
      </c>
      <c r="E12" s="7" t="s">
        <v>16</v>
      </c>
      <c r="F12" s="7">
        <v>0</v>
      </c>
      <c r="G12" s="7">
        <v>3.8</v>
      </c>
    </row>
    <row r="13" s="7" customFormat="1" ht="15.3" spans="1:7">
      <c r="A13" s="7" t="s">
        <v>29</v>
      </c>
      <c r="B13" s="9">
        <v>45931</v>
      </c>
      <c r="C13" s="10">
        <v>24</v>
      </c>
      <c r="D13" s="7">
        <v>21.71</v>
      </c>
      <c r="E13" s="7" t="s">
        <v>17</v>
      </c>
      <c r="F13" s="7">
        <v>0.4</v>
      </c>
      <c r="G13" s="7">
        <v>5.17</v>
      </c>
    </row>
    <row r="14" s="7" customFormat="1" ht="15.3" spans="1:7">
      <c r="A14" s="7" t="s">
        <v>29</v>
      </c>
      <c r="B14" s="9">
        <v>45932</v>
      </c>
      <c r="C14" s="10">
        <v>2</v>
      </c>
      <c r="D14" s="7">
        <v>19.31</v>
      </c>
      <c r="E14" s="7" t="s">
        <v>17</v>
      </c>
      <c r="F14" s="7">
        <v>0.7</v>
      </c>
      <c r="G14" s="7">
        <v>4.79</v>
      </c>
    </row>
    <row r="15" s="7" customFormat="1" ht="15.3" spans="1:7">
      <c r="A15" s="7" t="s">
        <v>29</v>
      </c>
      <c r="B15" s="9">
        <v>45932</v>
      </c>
      <c r="C15" s="10">
        <v>4</v>
      </c>
      <c r="D15" s="7">
        <v>17.66</v>
      </c>
      <c r="E15" s="7" t="s">
        <v>17</v>
      </c>
      <c r="F15" s="7">
        <v>1.1</v>
      </c>
      <c r="G15" s="7">
        <v>2.92</v>
      </c>
    </row>
    <row r="16" s="7" customFormat="1" ht="15.3" spans="1:7">
      <c r="A16" s="7" t="s">
        <v>29</v>
      </c>
      <c r="B16" s="9">
        <v>45932</v>
      </c>
      <c r="C16" s="10">
        <v>6</v>
      </c>
      <c r="D16" s="7">
        <v>17.36</v>
      </c>
      <c r="E16" s="7" t="s">
        <v>16</v>
      </c>
      <c r="F16" s="7">
        <v>0.3</v>
      </c>
      <c r="G16" s="7">
        <v>2.22</v>
      </c>
    </row>
    <row r="17" s="7" customFormat="1" ht="15.3" spans="1:7">
      <c r="A17" s="7" t="s">
        <v>29</v>
      </c>
      <c r="B17" s="9">
        <v>45932</v>
      </c>
      <c r="C17" s="10">
        <v>8</v>
      </c>
      <c r="D17" s="7">
        <v>17.36</v>
      </c>
      <c r="E17" s="7" t="s">
        <v>16</v>
      </c>
      <c r="F17" s="7">
        <v>0.1</v>
      </c>
      <c r="G17" s="7">
        <v>1.98</v>
      </c>
    </row>
    <row r="18" s="7" customFormat="1" ht="15.3" spans="1:7">
      <c r="A18" s="7" t="s">
        <v>29</v>
      </c>
      <c r="B18" s="9">
        <v>45932</v>
      </c>
      <c r="C18" s="10">
        <v>10</v>
      </c>
      <c r="D18" s="7">
        <v>18.11</v>
      </c>
      <c r="E18" s="7" t="s">
        <v>16</v>
      </c>
      <c r="F18" s="7">
        <v>0.1</v>
      </c>
      <c r="G18" s="7">
        <v>4.44</v>
      </c>
    </row>
    <row r="19" s="7" customFormat="1" ht="15.3" spans="1:7">
      <c r="A19" s="7" t="s">
        <v>29</v>
      </c>
      <c r="B19" s="9">
        <v>45932</v>
      </c>
      <c r="C19" s="10">
        <v>12</v>
      </c>
      <c r="D19" s="7">
        <v>18.11</v>
      </c>
      <c r="E19" s="7" t="s">
        <v>17</v>
      </c>
      <c r="F19" s="7">
        <v>0.8</v>
      </c>
      <c r="G19" s="7">
        <v>3.86</v>
      </c>
    </row>
    <row r="20" s="7" customFormat="1" ht="15.3" spans="1:7">
      <c r="A20" s="7" t="s">
        <v>29</v>
      </c>
      <c r="B20" s="9">
        <v>45932</v>
      </c>
      <c r="C20" s="10">
        <v>14</v>
      </c>
      <c r="D20" s="7">
        <v>19.31</v>
      </c>
      <c r="E20" s="7" t="s">
        <v>16</v>
      </c>
      <c r="F20" s="7">
        <v>0</v>
      </c>
      <c r="G20" s="7">
        <v>3.98</v>
      </c>
    </row>
    <row r="21" s="7" customFormat="1" ht="15.3" spans="1:7">
      <c r="A21" s="7" t="s">
        <v>29</v>
      </c>
      <c r="B21" s="9">
        <v>45932</v>
      </c>
      <c r="C21" s="10">
        <v>16</v>
      </c>
      <c r="D21" s="7">
        <v>19.21</v>
      </c>
      <c r="E21" s="7" t="s">
        <v>16</v>
      </c>
      <c r="F21" s="7">
        <v>0</v>
      </c>
      <c r="G21" s="7">
        <v>3.85</v>
      </c>
    </row>
    <row r="22" s="7" customFormat="1" ht="15.3" spans="1:7">
      <c r="A22" s="7" t="s">
        <v>29</v>
      </c>
      <c r="B22" s="9">
        <v>45932</v>
      </c>
      <c r="C22" s="10">
        <v>18</v>
      </c>
      <c r="D22" s="7">
        <v>18.86</v>
      </c>
      <c r="E22" s="7" t="s">
        <v>16</v>
      </c>
      <c r="F22" s="7">
        <v>0</v>
      </c>
      <c r="G22" s="7">
        <v>3.31</v>
      </c>
    </row>
    <row r="23" s="7" customFormat="1" ht="15.3" spans="1:7">
      <c r="A23" s="7" t="s">
        <v>29</v>
      </c>
      <c r="B23" s="9">
        <v>45932</v>
      </c>
      <c r="C23" s="10">
        <v>20</v>
      </c>
      <c r="D23" s="7">
        <v>18.66</v>
      </c>
      <c r="E23" s="7" t="s">
        <v>16</v>
      </c>
      <c r="F23" s="7">
        <v>0</v>
      </c>
      <c r="G23" s="7">
        <v>2.75</v>
      </c>
    </row>
    <row r="24" s="7" customFormat="1" ht="15.3" spans="1:7">
      <c r="A24" s="7" t="s">
        <v>29</v>
      </c>
      <c r="B24" s="9">
        <v>45932</v>
      </c>
      <c r="C24" s="10">
        <v>22</v>
      </c>
      <c r="D24" s="7">
        <v>18.26</v>
      </c>
      <c r="E24" s="7" t="s">
        <v>18</v>
      </c>
      <c r="F24" s="7">
        <v>0</v>
      </c>
      <c r="G24" s="7">
        <v>3.11</v>
      </c>
    </row>
    <row r="25" s="7" customFormat="1" ht="15.3" spans="1:7">
      <c r="A25" s="7" t="s">
        <v>29</v>
      </c>
      <c r="B25" s="9">
        <v>45932</v>
      </c>
      <c r="C25" s="10">
        <v>24</v>
      </c>
      <c r="D25" s="7">
        <v>18.36</v>
      </c>
      <c r="E25" s="7" t="s">
        <v>16</v>
      </c>
      <c r="F25" s="7">
        <v>0.1</v>
      </c>
      <c r="G25" s="7">
        <v>2.67</v>
      </c>
    </row>
    <row r="26" s="7" customFormat="1" ht="15.3" spans="1:7">
      <c r="A26" s="7" t="s">
        <v>29</v>
      </c>
      <c r="B26" s="9">
        <v>45933</v>
      </c>
      <c r="C26" s="10">
        <v>2</v>
      </c>
      <c r="D26" s="7">
        <v>18.31</v>
      </c>
      <c r="E26" s="7" t="s">
        <v>16</v>
      </c>
      <c r="F26" s="7">
        <v>0</v>
      </c>
      <c r="G26" s="7">
        <v>2.39</v>
      </c>
    </row>
    <row r="27" s="7" customFormat="1" ht="15.3" spans="1:7">
      <c r="A27" s="7" t="s">
        <v>29</v>
      </c>
      <c r="B27" s="9">
        <v>45933</v>
      </c>
      <c r="C27" s="10">
        <v>4</v>
      </c>
      <c r="D27" s="7">
        <v>18.46</v>
      </c>
      <c r="E27" s="7" t="s">
        <v>16</v>
      </c>
      <c r="F27" s="7">
        <v>0</v>
      </c>
      <c r="G27" s="7">
        <v>1.82</v>
      </c>
    </row>
    <row r="28" s="7" customFormat="1" ht="15.3" spans="1:7">
      <c r="A28" s="7" t="s">
        <v>29</v>
      </c>
      <c r="B28" s="9">
        <v>45933</v>
      </c>
      <c r="C28" s="10">
        <v>6</v>
      </c>
      <c r="D28" s="7">
        <v>18.16</v>
      </c>
      <c r="E28" s="7" t="s">
        <v>16</v>
      </c>
      <c r="F28" s="7">
        <v>0</v>
      </c>
      <c r="G28" s="7">
        <v>2.27</v>
      </c>
    </row>
    <row r="29" s="7" customFormat="1" ht="15.3" spans="1:7">
      <c r="A29" s="7" t="s">
        <v>29</v>
      </c>
      <c r="B29" s="9">
        <v>45933</v>
      </c>
      <c r="C29" s="10">
        <v>8</v>
      </c>
      <c r="D29" s="7">
        <v>18.36</v>
      </c>
      <c r="E29" s="7" t="s">
        <v>16</v>
      </c>
      <c r="F29" s="7">
        <v>0</v>
      </c>
      <c r="G29" s="7">
        <v>1.73</v>
      </c>
    </row>
    <row r="30" s="7" customFormat="1" ht="15.3" spans="1:7">
      <c r="A30" s="7" t="s">
        <v>29</v>
      </c>
      <c r="B30" s="9">
        <v>45933</v>
      </c>
      <c r="C30" s="10">
        <v>10</v>
      </c>
      <c r="D30" s="7">
        <v>19.86</v>
      </c>
      <c r="E30" s="7" t="s">
        <v>16</v>
      </c>
      <c r="F30" s="7">
        <v>0</v>
      </c>
      <c r="G30" s="7">
        <v>1.82</v>
      </c>
    </row>
    <row r="31" s="7" customFormat="1" ht="15.3" spans="1:7">
      <c r="A31" s="7" t="s">
        <v>29</v>
      </c>
      <c r="B31" s="9">
        <v>45933</v>
      </c>
      <c r="C31" s="10">
        <v>12</v>
      </c>
      <c r="D31" s="7">
        <v>22.21</v>
      </c>
      <c r="E31" s="7" t="s">
        <v>18</v>
      </c>
      <c r="F31" s="7">
        <v>0.1</v>
      </c>
      <c r="G31" s="7">
        <v>2.12</v>
      </c>
    </row>
    <row r="32" s="7" customFormat="1" ht="15.3" spans="1:7">
      <c r="A32" s="7" t="s">
        <v>29</v>
      </c>
      <c r="B32" s="9">
        <v>45933</v>
      </c>
      <c r="C32" s="10">
        <v>14</v>
      </c>
      <c r="D32" s="7">
        <v>23.21</v>
      </c>
      <c r="E32" s="7" t="s">
        <v>19</v>
      </c>
      <c r="F32" s="7">
        <v>0</v>
      </c>
      <c r="G32" s="7">
        <v>2.41</v>
      </c>
    </row>
    <row r="33" s="7" customFormat="1" ht="15.3" spans="1:7">
      <c r="A33" s="7" t="s">
        <v>29</v>
      </c>
      <c r="B33" s="9">
        <v>45933</v>
      </c>
      <c r="C33" s="10">
        <v>16</v>
      </c>
      <c r="D33" s="7">
        <v>22.61</v>
      </c>
      <c r="E33" s="7" t="s">
        <v>16</v>
      </c>
      <c r="F33" s="7">
        <v>0</v>
      </c>
      <c r="G33" s="7">
        <v>2.51</v>
      </c>
    </row>
    <row r="34" s="7" customFormat="1" ht="15.3" spans="1:7">
      <c r="A34" s="7" t="s">
        <v>29</v>
      </c>
      <c r="B34" s="9">
        <v>45933</v>
      </c>
      <c r="C34" s="10">
        <v>18</v>
      </c>
      <c r="D34" s="7">
        <v>21.26</v>
      </c>
      <c r="E34" s="7" t="s">
        <v>16</v>
      </c>
      <c r="F34" s="7">
        <v>0</v>
      </c>
      <c r="G34" s="7">
        <v>2.18</v>
      </c>
    </row>
    <row r="35" s="7" customFormat="1" ht="15.3" spans="1:7">
      <c r="A35" s="7" t="s">
        <v>29</v>
      </c>
      <c r="B35" s="9">
        <v>45933</v>
      </c>
      <c r="C35" s="10">
        <v>20</v>
      </c>
      <c r="D35" s="7">
        <v>19.46</v>
      </c>
      <c r="E35" s="7" t="s">
        <v>16</v>
      </c>
      <c r="F35" s="7">
        <v>0</v>
      </c>
      <c r="G35" s="7">
        <v>0.54</v>
      </c>
    </row>
    <row r="36" s="7" customFormat="1" ht="15.3" spans="1:7">
      <c r="A36" s="7" t="s">
        <v>29</v>
      </c>
      <c r="B36" s="9">
        <v>45933</v>
      </c>
      <c r="C36" s="10">
        <v>22</v>
      </c>
      <c r="D36" s="7">
        <v>19.26</v>
      </c>
      <c r="E36" s="7" t="s">
        <v>16</v>
      </c>
      <c r="F36" s="7">
        <v>0</v>
      </c>
      <c r="G36" s="7">
        <v>1.63</v>
      </c>
    </row>
    <row r="37" s="7" customFormat="1" ht="15.3" spans="1:7">
      <c r="A37" s="7" t="s">
        <v>29</v>
      </c>
      <c r="B37" s="9">
        <v>45933</v>
      </c>
      <c r="C37" s="10">
        <v>24</v>
      </c>
      <c r="D37" s="7">
        <v>18.21</v>
      </c>
      <c r="E37" s="7" t="s">
        <v>16</v>
      </c>
      <c r="F37" s="7">
        <v>0</v>
      </c>
      <c r="G37" s="7">
        <v>1.22</v>
      </c>
    </row>
    <row r="38" s="7" customFormat="1" ht="15.3" spans="1:7">
      <c r="A38" s="7" t="s">
        <v>29</v>
      </c>
      <c r="B38" s="9">
        <v>45934</v>
      </c>
      <c r="C38" s="10">
        <v>2</v>
      </c>
      <c r="D38" s="7">
        <v>17.71</v>
      </c>
      <c r="E38" s="7" t="s">
        <v>16</v>
      </c>
      <c r="F38" s="7">
        <v>0</v>
      </c>
      <c r="G38" s="7">
        <v>1.46</v>
      </c>
    </row>
    <row r="39" s="7" customFormat="1" ht="15.3" spans="1:7">
      <c r="A39" s="7" t="s">
        <v>29</v>
      </c>
      <c r="B39" s="9">
        <v>45934</v>
      </c>
      <c r="C39" s="10">
        <v>4</v>
      </c>
      <c r="D39" s="7">
        <v>17.41</v>
      </c>
      <c r="E39" s="7" t="s">
        <v>16</v>
      </c>
      <c r="F39" s="7">
        <v>0</v>
      </c>
      <c r="G39" s="7">
        <v>0.96</v>
      </c>
    </row>
    <row r="40" s="7" customFormat="1" ht="15.3" spans="1:7">
      <c r="A40" s="7" t="s">
        <v>29</v>
      </c>
      <c r="B40" s="9">
        <v>45934</v>
      </c>
      <c r="C40" s="10">
        <v>6</v>
      </c>
      <c r="D40" s="7">
        <v>16.91</v>
      </c>
      <c r="E40" s="7" t="s">
        <v>16</v>
      </c>
      <c r="F40" s="7">
        <v>0</v>
      </c>
      <c r="G40" s="7">
        <v>0.78</v>
      </c>
    </row>
    <row r="41" s="7" customFormat="1" ht="15.3" spans="1:7">
      <c r="A41" s="7" t="s">
        <v>29</v>
      </c>
      <c r="B41" s="9">
        <v>45934</v>
      </c>
      <c r="C41" s="10">
        <v>8</v>
      </c>
      <c r="D41" s="7">
        <v>17.46</v>
      </c>
      <c r="E41" s="7" t="s">
        <v>16</v>
      </c>
      <c r="F41" s="7">
        <v>0</v>
      </c>
      <c r="G41" s="7">
        <v>0.96</v>
      </c>
    </row>
    <row r="42" s="7" customFormat="1" ht="15.3" spans="1:7">
      <c r="A42" s="7" t="s">
        <v>29</v>
      </c>
      <c r="B42" s="9">
        <v>45934</v>
      </c>
      <c r="C42" s="10">
        <v>10</v>
      </c>
      <c r="D42" s="7">
        <v>21.26</v>
      </c>
      <c r="E42" s="7" t="s">
        <v>16</v>
      </c>
      <c r="F42" s="7">
        <v>0</v>
      </c>
      <c r="G42" s="7">
        <v>0.78</v>
      </c>
    </row>
    <row r="43" s="7" customFormat="1" ht="15.3" spans="1:7">
      <c r="A43" s="7" t="s">
        <v>29</v>
      </c>
      <c r="B43" s="9">
        <v>45934</v>
      </c>
      <c r="C43" s="10">
        <v>12</v>
      </c>
      <c r="D43" s="7">
        <v>23.81</v>
      </c>
      <c r="E43" s="7" t="s">
        <v>16</v>
      </c>
      <c r="F43" s="7">
        <v>0</v>
      </c>
      <c r="G43" s="7">
        <v>0.92</v>
      </c>
    </row>
    <row r="44" s="7" customFormat="1" ht="15.3" spans="1:7">
      <c r="A44" s="7" t="s">
        <v>29</v>
      </c>
      <c r="B44" s="9">
        <v>45934</v>
      </c>
      <c r="C44" s="10">
        <v>14</v>
      </c>
      <c r="D44" s="7">
        <v>24.81</v>
      </c>
      <c r="E44" s="7" t="s">
        <v>19</v>
      </c>
      <c r="F44" s="7">
        <v>0</v>
      </c>
      <c r="G44" s="7">
        <v>0.52</v>
      </c>
    </row>
    <row r="45" s="7" customFormat="1" ht="15.3" spans="1:7">
      <c r="A45" s="7" t="s">
        <v>29</v>
      </c>
      <c r="B45" s="9">
        <v>45934</v>
      </c>
      <c r="C45" s="10">
        <v>16</v>
      </c>
      <c r="D45" s="7">
        <v>24.76</v>
      </c>
      <c r="E45" s="7" t="s">
        <v>19</v>
      </c>
      <c r="F45" s="7">
        <v>0</v>
      </c>
      <c r="G45" s="7">
        <v>0.76</v>
      </c>
    </row>
    <row r="46" s="7" customFormat="1" ht="15.3" spans="1:7">
      <c r="A46" s="7" t="s">
        <v>29</v>
      </c>
      <c r="B46" s="9">
        <v>45934</v>
      </c>
      <c r="C46" s="10">
        <v>18</v>
      </c>
      <c r="D46" s="7">
        <v>23.86</v>
      </c>
      <c r="E46" s="7" t="s">
        <v>16</v>
      </c>
      <c r="F46" s="7">
        <v>0</v>
      </c>
      <c r="G46" s="7">
        <v>0.4</v>
      </c>
    </row>
    <row r="47" s="7" customFormat="1" ht="15.3" spans="1:7">
      <c r="A47" s="7" t="s">
        <v>29</v>
      </c>
      <c r="B47" s="9">
        <v>45934</v>
      </c>
      <c r="C47" s="10">
        <v>20</v>
      </c>
      <c r="D47" s="7">
        <v>21.26</v>
      </c>
      <c r="E47" s="7" t="s">
        <v>20</v>
      </c>
      <c r="F47" s="7">
        <v>1.7</v>
      </c>
      <c r="G47" s="7">
        <v>1.03</v>
      </c>
    </row>
    <row r="48" s="7" customFormat="1" ht="15.3" spans="1:7">
      <c r="A48" s="7" t="s">
        <v>29</v>
      </c>
      <c r="B48" s="9">
        <v>45934</v>
      </c>
      <c r="C48" s="10">
        <v>22</v>
      </c>
      <c r="D48" s="7">
        <v>20.41</v>
      </c>
      <c r="E48" s="7" t="s">
        <v>16</v>
      </c>
      <c r="F48" s="7">
        <v>0.2</v>
      </c>
      <c r="G48" s="7">
        <v>0.82</v>
      </c>
    </row>
    <row r="49" s="7" customFormat="1" ht="15.3" spans="1:7">
      <c r="A49" s="7" t="s">
        <v>29</v>
      </c>
      <c r="B49" s="9">
        <v>45934</v>
      </c>
      <c r="C49" s="10">
        <v>24</v>
      </c>
      <c r="D49" s="7">
        <v>19.91</v>
      </c>
      <c r="E49" s="7" t="s">
        <v>17</v>
      </c>
      <c r="F49" s="7">
        <v>0.5</v>
      </c>
      <c r="G49" s="7">
        <v>0.78</v>
      </c>
    </row>
    <row r="50" s="7" customFormat="1" ht="15.3" spans="1:7">
      <c r="A50" s="7" t="s">
        <v>29</v>
      </c>
      <c r="B50" s="9">
        <v>45935</v>
      </c>
      <c r="C50" s="10">
        <v>2</v>
      </c>
      <c r="D50" s="7">
        <v>19.71</v>
      </c>
      <c r="E50" s="7" t="s">
        <v>21</v>
      </c>
      <c r="F50" s="7">
        <v>2.6</v>
      </c>
      <c r="G50" s="7">
        <v>0.22</v>
      </c>
    </row>
    <row r="51" s="7" customFormat="1" ht="15.3" spans="1:7">
      <c r="A51" s="7" t="s">
        <v>29</v>
      </c>
      <c r="B51" s="9">
        <v>45935</v>
      </c>
      <c r="C51" s="10">
        <v>4</v>
      </c>
      <c r="D51" s="7">
        <v>19.51</v>
      </c>
      <c r="E51" s="7" t="s">
        <v>17</v>
      </c>
      <c r="F51" s="7">
        <v>0.7</v>
      </c>
      <c r="G51" s="7">
        <v>0.41</v>
      </c>
    </row>
    <row r="52" s="7" customFormat="1" ht="15.3" spans="1:7">
      <c r="A52" s="7" t="s">
        <v>29</v>
      </c>
      <c r="B52" s="9">
        <v>45935</v>
      </c>
      <c r="C52" s="10">
        <v>6</v>
      </c>
      <c r="D52" s="7">
        <v>19.31</v>
      </c>
      <c r="E52" s="7" t="s">
        <v>18</v>
      </c>
      <c r="F52" s="7">
        <v>0</v>
      </c>
      <c r="G52" s="7">
        <v>0.47</v>
      </c>
    </row>
    <row r="53" s="7" customFormat="1" ht="15.3" spans="1:7">
      <c r="A53" s="7" t="s">
        <v>29</v>
      </c>
      <c r="B53" s="9">
        <v>45935</v>
      </c>
      <c r="C53" s="10">
        <v>8</v>
      </c>
      <c r="D53" s="7">
        <v>19.36</v>
      </c>
      <c r="E53" s="7" t="s">
        <v>16</v>
      </c>
      <c r="F53" s="7">
        <v>0</v>
      </c>
      <c r="G53" s="7">
        <v>1.15</v>
      </c>
    </row>
    <row r="54" s="7" customFormat="1" ht="15.3" spans="1:7">
      <c r="A54" s="7" t="s">
        <v>29</v>
      </c>
      <c r="B54" s="9">
        <v>45935</v>
      </c>
      <c r="C54" s="10">
        <v>10</v>
      </c>
      <c r="D54" s="7">
        <v>20.56</v>
      </c>
      <c r="E54" s="7" t="s">
        <v>16</v>
      </c>
      <c r="F54" s="7">
        <v>0.1</v>
      </c>
      <c r="G54" s="7">
        <v>2.16</v>
      </c>
    </row>
    <row r="55" s="7" customFormat="1" ht="15.3" spans="1:7">
      <c r="A55" s="7" t="s">
        <v>29</v>
      </c>
      <c r="B55" s="9">
        <v>45935</v>
      </c>
      <c r="C55" s="10">
        <v>12</v>
      </c>
      <c r="D55" s="7">
        <v>21.36</v>
      </c>
      <c r="E55" s="7" t="s">
        <v>16</v>
      </c>
      <c r="F55" s="7">
        <v>0</v>
      </c>
      <c r="G55" s="7">
        <v>2.13</v>
      </c>
    </row>
    <row r="56" s="7" customFormat="1" ht="15.3" spans="1:7">
      <c r="A56" s="7" t="s">
        <v>29</v>
      </c>
      <c r="B56" s="9">
        <v>45935</v>
      </c>
      <c r="C56" s="10">
        <v>14</v>
      </c>
      <c r="D56" s="7">
        <v>21.51</v>
      </c>
      <c r="E56" s="7" t="s">
        <v>16</v>
      </c>
      <c r="F56" s="7">
        <v>0.2</v>
      </c>
      <c r="G56" s="7">
        <v>1.85</v>
      </c>
    </row>
    <row r="57" s="7" customFormat="1" ht="15.3" spans="1:7">
      <c r="A57" s="7" t="s">
        <v>29</v>
      </c>
      <c r="B57" s="9">
        <v>45935</v>
      </c>
      <c r="C57" s="10">
        <v>16</v>
      </c>
      <c r="D57" s="7">
        <v>20.96</v>
      </c>
      <c r="E57" s="7" t="s">
        <v>17</v>
      </c>
      <c r="F57" s="7">
        <v>0.7</v>
      </c>
      <c r="G57" s="7">
        <v>2.28</v>
      </c>
    </row>
    <row r="58" s="7" customFormat="1" ht="15.3" spans="1:7">
      <c r="A58" s="7" t="s">
        <v>29</v>
      </c>
      <c r="B58" s="9">
        <v>45935</v>
      </c>
      <c r="C58" s="10">
        <v>18</v>
      </c>
      <c r="D58" s="7">
        <v>20.11</v>
      </c>
      <c r="E58" s="7" t="s">
        <v>17</v>
      </c>
      <c r="F58" s="7">
        <v>0.6</v>
      </c>
      <c r="G58" s="7">
        <v>2.83</v>
      </c>
    </row>
    <row r="59" s="7" customFormat="1" ht="15.3" spans="1:7">
      <c r="A59" s="7" t="s">
        <v>29</v>
      </c>
      <c r="B59" s="9">
        <v>45935</v>
      </c>
      <c r="C59" s="10">
        <v>20</v>
      </c>
      <c r="D59" s="7">
        <v>19.76</v>
      </c>
      <c r="E59" s="7" t="s">
        <v>20</v>
      </c>
      <c r="F59" s="7">
        <v>1.9</v>
      </c>
      <c r="G59" s="7">
        <v>2.99</v>
      </c>
    </row>
    <row r="60" s="7" customFormat="1" ht="15.3" spans="1:7">
      <c r="A60" s="7" t="s">
        <v>29</v>
      </c>
      <c r="B60" s="9">
        <v>45935</v>
      </c>
      <c r="C60" s="10">
        <v>22</v>
      </c>
      <c r="D60" s="7">
        <v>19.51</v>
      </c>
      <c r="E60" s="7" t="s">
        <v>17</v>
      </c>
      <c r="F60" s="7">
        <v>0.6</v>
      </c>
      <c r="G60" s="7">
        <v>3.93</v>
      </c>
    </row>
    <row r="61" s="7" customFormat="1" ht="15.3" spans="1:7">
      <c r="A61" s="7" t="s">
        <v>29</v>
      </c>
      <c r="B61" s="9">
        <v>45935</v>
      </c>
      <c r="C61" s="10">
        <v>24</v>
      </c>
      <c r="D61" s="7">
        <v>19.31</v>
      </c>
      <c r="E61" s="7" t="s">
        <v>20</v>
      </c>
      <c r="F61" s="7">
        <v>1.6</v>
      </c>
      <c r="G61" s="7">
        <v>3.98</v>
      </c>
    </row>
    <row r="62" s="7" customFormat="1" ht="15.3" spans="1:7">
      <c r="A62" s="7" t="s">
        <v>29</v>
      </c>
      <c r="B62" s="9">
        <v>45936</v>
      </c>
      <c r="C62" s="10">
        <v>2</v>
      </c>
      <c r="D62" s="7">
        <v>18.56</v>
      </c>
      <c r="E62" s="7" t="s">
        <v>21</v>
      </c>
      <c r="F62" s="7">
        <v>3.1</v>
      </c>
      <c r="G62" s="7">
        <v>4.6</v>
      </c>
    </row>
    <row r="63" s="7" customFormat="1" ht="15.3" spans="1:7">
      <c r="A63" s="7" t="s">
        <v>29</v>
      </c>
      <c r="B63" s="9">
        <v>45936</v>
      </c>
      <c r="C63" s="10">
        <v>4</v>
      </c>
      <c r="D63" s="7">
        <v>17.91</v>
      </c>
      <c r="E63" s="7" t="s">
        <v>21</v>
      </c>
      <c r="F63" s="7">
        <v>2.5</v>
      </c>
      <c r="G63" s="7">
        <v>4.05</v>
      </c>
    </row>
    <row r="64" s="7" customFormat="1" ht="15.3" spans="1:7">
      <c r="A64" s="7" t="s">
        <v>29</v>
      </c>
      <c r="B64" s="9">
        <v>45936</v>
      </c>
      <c r="C64" s="10">
        <v>6</v>
      </c>
      <c r="D64" s="7">
        <v>17.81</v>
      </c>
      <c r="E64" s="7" t="s">
        <v>21</v>
      </c>
      <c r="F64" s="7">
        <v>2.8</v>
      </c>
      <c r="G64" s="7">
        <v>5.23</v>
      </c>
    </row>
    <row r="65" s="7" customFormat="1" ht="15.3" spans="1:7">
      <c r="A65" s="7" t="s">
        <v>29</v>
      </c>
      <c r="B65" s="9">
        <v>45936</v>
      </c>
      <c r="C65" s="10">
        <v>8</v>
      </c>
      <c r="D65" s="7">
        <v>17.66</v>
      </c>
      <c r="E65" s="7" t="s">
        <v>17</v>
      </c>
      <c r="F65" s="7">
        <v>0.4</v>
      </c>
      <c r="G65" s="7">
        <v>5.57</v>
      </c>
    </row>
    <row r="66" s="7" customFormat="1" ht="15.3" spans="1:7">
      <c r="A66" s="7" t="s">
        <v>29</v>
      </c>
      <c r="B66" s="9">
        <v>45936</v>
      </c>
      <c r="C66" s="10">
        <v>10</v>
      </c>
      <c r="D66" s="7">
        <v>17.11</v>
      </c>
      <c r="E66" s="7" t="s">
        <v>20</v>
      </c>
      <c r="F66" s="7">
        <v>1.6</v>
      </c>
      <c r="G66" s="7">
        <v>5.28</v>
      </c>
    </row>
    <row r="67" s="7" customFormat="1" ht="15.3" spans="1:7">
      <c r="A67" s="7" t="s">
        <v>29</v>
      </c>
      <c r="B67" s="9">
        <v>45936</v>
      </c>
      <c r="C67" s="10">
        <v>12</v>
      </c>
      <c r="D67" s="7">
        <v>18.01</v>
      </c>
      <c r="E67" s="7" t="s">
        <v>18</v>
      </c>
      <c r="F67" s="7">
        <v>0.3</v>
      </c>
      <c r="G67" s="7">
        <v>4.55</v>
      </c>
    </row>
    <row r="68" s="7" customFormat="1" ht="15.3" spans="1:7">
      <c r="A68" s="7" t="s">
        <v>29</v>
      </c>
      <c r="B68" s="9">
        <v>45936</v>
      </c>
      <c r="C68" s="10">
        <v>14</v>
      </c>
      <c r="D68" s="7">
        <v>17.51</v>
      </c>
      <c r="E68" s="7" t="s">
        <v>20</v>
      </c>
      <c r="F68" s="7">
        <v>2.1</v>
      </c>
      <c r="G68" s="7">
        <v>4.31</v>
      </c>
    </row>
    <row r="69" s="7" customFormat="1" ht="15.3" spans="1:7">
      <c r="A69" s="7" t="s">
        <v>29</v>
      </c>
      <c r="B69" s="9">
        <v>45936</v>
      </c>
      <c r="C69" s="10">
        <v>16</v>
      </c>
      <c r="D69" s="7">
        <v>17.01</v>
      </c>
      <c r="E69" s="7" t="s">
        <v>20</v>
      </c>
      <c r="F69" s="7">
        <v>1.6</v>
      </c>
      <c r="G69" s="7">
        <v>4.28</v>
      </c>
    </row>
    <row r="70" s="7" customFormat="1" ht="15.3" spans="1:7">
      <c r="A70" s="7" t="s">
        <v>29</v>
      </c>
      <c r="B70" s="9">
        <v>45936</v>
      </c>
      <c r="C70" s="10">
        <v>18</v>
      </c>
      <c r="D70" s="7">
        <v>16.96</v>
      </c>
      <c r="E70" s="7" t="s">
        <v>17</v>
      </c>
      <c r="F70" s="7">
        <v>0.4</v>
      </c>
      <c r="G70" s="7">
        <v>2.94</v>
      </c>
    </row>
    <row r="71" s="7" customFormat="1" ht="15.3" spans="1:7">
      <c r="A71" s="7" t="s">
        <v>29</v>
      </c>
      <c r="B71" s="9">
        <v>45936</v>
      </c>
      <c r="C71" s="10">
        <v>20</v>
      </c>
      <c r="D71" s="7">
        <v>16.26</v>
      </c>
      <c r="E71" s="7" t="s">
        <v>16</v>
      </c>
      <c r="F71" s="7">
        <v>0</v>
      </c>
      <c r="G71" s="7">
        <v>2.27</v>
      </c>
    </row>
    <row r="72" s="7" customFormat="1" ht="15.3" spans="1:7">
      <c r="A72" s="7" t="s">
        <v>29</v>
      </c>
      <c r="B72" s="9">
        <v>45936</v>
      </c>
      <c r="C72" s="10">
        <v>22</v>
      </c>
      <c r="D72" s="7">
        <v>15.76</v>
      </c>
      <c r="E72" s="7" t="s">
        <v>16</v>
      </c>
      <c r="F72" s="7">
        <v>0</v>
      </c>
      <c r="G72" s="7">
        <v>2.15</v>
      </c>
    </row>
    <row r="73" s="7" customFormat="1" ht="15.3" spans="1:7">
      <c r="A73" s="7" t="s">
        <v>29</v>
      </c>
      <c r="B73" s="9">
        <v>45936</v>
      </c>
      <c r="C73" s="10">
        <v>24</v>
      </c>
      <c r="D73" s="7">
        <v>15.61</v>
      </c>
      <c r="E73" s="7" t="s">
        <v>16</v>
      </c>
      <c r="F73" s="7">
        <v>0</v>
      </c>
      <c r="G73" s="7">
        <v>1.61</v>
      </c>
    </row>
    <row r="74" s="7" customFormat="1" ht="15.3" spans="1:7">
      <c r="A74" s="7" t="s">
        <v>29</v>
      </c>
      <c r="B74" s="9">
        <v>45937</v>
      </c>
      <c r="C74" s="10">
        <v>2</v>
      </c>
      <c r="D74" s="7">
        <v>15.16</v>
      </c>
      <c r="E74" s="7" t="s">
        <v>16</v>
      </c>
      <c r="F74" s="7">
        <v>0</v>
      </c>
      <c r="G74" s="7">
        <v>2.23</v>
      </c>
    </row>
    <row r="75" s="7" customFormat="1" ht="15.3" spans="1:7">
      <c r="A75" s="7" t="s">
        <v>29</v>
      </c>
      <c r="B75" s="9">
        <v>45937</v>
      </c>
      <c r="C75" s="10">
        <v>4</v>
      </c>
      <c r="D75" s="7">
        <v>15.26</v>
      </c>
      <c r="E75" s="7" t="s">
        <v>16</v>
      </c>
      <c r="F75" s="7">
        <v>0.2</v>
      </c>
      <c r="G75" s="7">
        <v>2.3</v>
      </c>
    </row>
    <row r="76" s="7" customFormat="1" ht="15.3" spans="1:7">
      <c r="A76" s="7" t="s">
        <v>29</v>
      </c>
      <c r="B76" s="9">
        <v>45937</v>
      </c>
      <c r="C76" s="10">
        <v>6</v>
      </c>
      <c r="D76" s="7">
        <v>15.01</v>
      </c>
      <c r="E76" s="7" t="s">
        <v>16</v>
      </c>
      <c r="F76" s="7">
        <v>0.1</v>
      </c>
      <c r="G76" s="7">
        <v>2.89</v>
      </c>
    </row>
    <row r="77" s="7" customFormat="1" ht="15.3" spans="1:7">
      <c r="A77" s="7" t="s">
        <v>29</v>
      </c>
      <c r="B77" s="9">
        <v>45937</v>
      </c>
      <c r="C77" s="10">
        <v>8</v>
      </c>
      <c r="D77" s="7">
        <v>14.61</v>
      </c>
      <c r="E77" s="7" t="s">
        <v>20</v>
      </c>
      <c r="F77" s="7">
        <v>1.7</v>
      </c>
      <c r="G77" s="7">
        <v>2.28</v>
      </c>
    </row>
    <row r="78" s="7" customFormat="1" ht="15.3" spans="1:7">
      <c r="A78" s="7" t="s">
        <v>29</v>
      </c>
      <c r="B78" s="9">
        <v>45937</v>
      </c>
      <c r="C78" s="10">
        <v>10</v>
      </c>
      <c r="D78" s="7">
        <v>15.96</v>
      </c>
      <c r="E78" s="7" t="s">
        <v>16</v>
      </c>
      <c r="F78" s="7">
        <v>0</v>
      </c>
      <c r="G78" s="7">
        <v>1.41</v>
      </c>
    </row>
    <row r="79" s="7" customFormat="1" ht="15.3" spans="1:7">
      <c r="A79" s="7" t="s">
        <v>29</v>
      </c>
      <c r="B79" s="9">
        <v>45937</v>
      </c>
      <c r="C79" s="10">
        <v>12</v>
      </c>
      <c r="D79" s="7">
        <v>20.01</v>
      </c>
      <c r="E79" s="7" t="s">
        <v>16</v>
      </c>
      <c r="F79" s="7">
        <v>0</v>
      </c>
      <c r="G79" s="7">
        <v>1.69</v>
      </c>
    </row>
    <row r="80" s="7" customFormat="1" ht="15.3" spans="1:7">
      <c r="A80" s="7" t="s">
        <v>29</v>
      </c>
      <c r="B80" s="9">
        <v>45937</v>
      </c>
      <c r="C80" s="10">
        <v>14</v>
      </c>
      <c r="D80" s="7">
        <v>22.76</v>
      </c>
      <c r="E80" s="7" t="s">
        <v>16</v>
      </c>
      <c r="F80" s="7">
        <v>0</v>
      </c>
      <c r="G80" s="7">
        <v>1.37</v>
      </c>
    </row>
    <row r="81" s="7" customFormat="1" ht="15.3" spans="1:7">
      <c r="A81" s="7" t="s">
        <v>29</v>
      </c>
      <c r="B81" s="9">
        <v>45937</v>
      </c>
      <c r="C81" s="10">
        <v>16</v>
      </c>
      <c r="D81" s="7">
        <v>21.01</v>
      </c>
      <c r="E81" s="7" t="s">
        <v>16</v>
      </c>
      <c r="F81" s="7">
        <v>0</v>
      </c>
      <c r="G81" s="7">
        <v>1.66</v>
      </c>
    </row>
    <row r="82" s="7" customFormat="1" ht="15.3" spans="1:7">
      <c r="A82" s="7" t="s">
        <v>29</v>
      </c>
      <c r="B82" s="9">
        <v>45937</v>
      </c>
      <c r="C82" s="10">
        <v>18</v>
      </c>
      <c r="D82" s="7">
        <v>20.26</v>
      </c>
      <c r="E82" s="7" t="s">
        <v>16</v>
      </c>
      <c r="F82" s="7">
        <v>0</v>
      </c>
      <c r="G82" s="7">
        <v>1.14</v>
      </c>
    </row>
    <row r="83" s="7" customFormat="1" ht="15.3" spans="1:7">
      <c r="A83" s="7" t="s">
        <v>29</v>
      </c>
      <c r="B83" s="9">
        <v>45937</v>
      </c>
      <c r="C83" s="10">
        <v>20</v>
      </c>
      <c r="D83" s="7">
        <v>17.66</v>
      </c>
      <c r="E83" s="7" t="s">
        <v>16</v>
      </c>
      <c r="F83" s="7">
        <v>0</v>
      </c>
      <c r="G83" s="7">
        <v>1.1</v>
      </c>
    </row>
    <row r="84" s="7" customFormat="1" ht="15.3" spans="1:7">
      <c r="A84" s="7" t="s">
        <v>29</v>
      </c>
      <c r="B84" s="9">
        <v>45937</v>
      </c>
      <c r="C84" s="10">
        <v>22</v>
      </c>
      <c r="D84" s="7">
        <v>16.56</v>
      </c>
      <c r="E84" s="7" t="s">
        <v>16</v>
      </c>
      <c r="F84" s="7">
        <v>0</v>
      </c>
      <c r="G84" s="7">
        <v>1.06</v>
      </c>
    </row>
    <row r="85" s="7" customFormat="1" ht="15.3" spans="1:7">
      <c r="A85" s="7" t="s">
        <v>29</v>
      </c>
      <c r="B85" s="9">
        <v>45937</v>
      </c>
      <c r="C85" s="10">
        <v>24</v>
      </c>
      <c r="D85" s="7">
        <v>15.86</v>
      </c>
      <c r="E85" s="7" t="s">
        <v>16</v>
      </c>
      <c r="F85" s="7">
        <v>0</v>
      </c>
      <c r="G85" s="7">
        <v>1.23</v>
      </c>
    </row>
    <row r="86" s="7" customFormat="1" ht="15.3" spans="1:7">
      <c r="A86" s="7" t="s">
        <v>29</v>
      </c>
      <c r="B86" s="9">
        <v>45938</v>
      </c>
      <c r="C86" s="10">
        <v>2</v>
      </c>
      <c r="D86" s="7">
        <v>16.61</v>
      </c>
      <c r="E86" s="7" t="s">
        <v>16</v>
      </c>
      <c r="F86" s="7">
        <v>0</v>
      </c>
      <c r="G86" s="7">
        <v>1.12</v>
      </c>
    </row>
    <row r="87" s="7" customFormat="1" ht="15.3" spans="1:7">
      <c r="A87" s="7" t="s">
        <v>29</v>
      </c>
      <c r="B87" s="9">
        <v>45938</v>
      </c>
      <c r="C87" s="10">
        <v>4</v>
      </c>
      <c r="D87" s="7">
        <v>17.51</v>
      </c>
      <c r="E87" s="7" t="s">
        <v>16</v>
      </c>
      <c r="F87" s="7">
        <v>0</v>
      </c>
      <c r="G87" s="7">
        <v>1.27</v>
      </c>
    </row>
    <row r="88" s="7" customFormat="1" ht="15.3" spans="1:7">
      <c r="A88" s="7" t="s">
        <v>29</v>
      </c>
      <c r="B88" s="9">
        <v>45938</v>
      </c>
      <c r="C88" s="10">
        <v>6</v>
      </c>
      <c r="D88" s="7">
        <v>17.51</v>
      </c>
      <c r="E88" s="7" t="s">
        <v>16</v>
      </c>
      <c r="F88" s="7">
        <v>0.2</v>
      </c>
      <c r="G88" s="7">
        <v>1.91</v>
      </c>
    </row>
    <row r="89" s="7" customFormat="1" ht="15.3" spans="1:7">
      <c r="A89" s="7" t="s">
        <v>29</v>
      </c>
      <c r="B89" s="9">
        <v>45938</v>
      </c>
      <c r="C89" s="10">
        <v>8</v>
      </c>
      <c r="D89" s="7">
        <v>17.86</v>
      </c>
      <c r="E89" s="7" t="s">
        <v>16</v>
      </c>
      <c r="F89" s="7">
        <v>0</v>
      </c>
      <c r="G89" s="7">
        <v>1.79</v>
      </c>
    </row>
    <row r="90" s="7" customFormat="1" ht="15.3" spans="1:7">
      <c r="A90" s="7" t="s">
        <v>29</v>
      </c>
      <c r="B90" s="9">
        <v>45938</v>
      </c>
      <c r="C90" s="10">
        <v>10</v>
      </c>
      <c r="D90" s="7">
        <v>19.71</v>
      </c>
      <c r="E90" s="7" t="s">
        <v>16</v>
      </c>
      <c r="F90" s="7">
        <v>0</v>
      </c>
      <c r="G90" s="7">
        <v>1.5</v>
      </c>
    </row>
    <row r="91" s="7" customFormat="1" ht="15.3" spans="1:7">
      <c r="A91" s="7" t="s">
        <v>29</v>
      </c>
      <c r="B91" s="9">
        <v>45938</v>
      </c>
      <c r="C91" s="10">
        <v>12</v>
      </c>
      <c r="D91" s="7">
        <v>20.66</v>
      </c>
      <c r="E91" s="7" t="s">
        <v>16</v>
      </c>
      <c r="F91" s="7">
        <v>0.2</v>
      </c>
      <c r="G91" s="7">
        <v>4.29</v>
      </c>
    </row>
    <row r="92" s="7" customFormat="1" ht="15.3" spans="1:7">
      <c r="A92" s="7" t="s">
        <v>29</v>
      </c>
      <c r="B92" s="9">
        <v>45938</v>
      </c>
      <c r="C92" s="10">
        <v>14</v>
      </c>
      <c r="D92" s="7">
        <v>19.66</v>
      </c>
      <c r="E92" s="7" t="s">
        <v>18</v>
      </c>
      <c r="F92" s="7">
        <v>0.1</v>
      </c>
      <c r="G92" s="7">
        <v>4.7</v>
      </c>
    </row>
    <row r="93" s="7" customFormat="1" ht="15.3" spans="1:7">
      <c r="A93" s="7" t="s">
        <v>29</v>
      </c>
      <c r="B93" s="9">
        <v>45938</v>
      </c>
      <c r="C93" s="10">
        <v>16</v>
      </c>
      <c r="D93" s="7">
        <v>18.91</v>
      </c>
      <c r="E93" s="7" t="s">
        <v>18</v>
      </c>
      <c r="F93" s="7">
        <v>0.1</v>
      </c>
      <c r="G93" s="7">
        <v>5.43</v>
      </c>
    </row>
    <row r="94" s="7" customFormat="1" ht="15.3" spans="1:7">
      <c r="A94" s="7" t="s">
        <v>29</v>
      </c>
      <c r="B94" s="9">
        <v>45938</v>
      </c>
      <c r="C94" s="10">
        <v>18</v>
      </c>
      <c r="D94" s="7">
        <v>18.26</v>
      </c>
      <c r="E94" s="7" t="s">
        <v>17</v>
      </c>
      <c r="F94" s="7">
        <v>0.5</v>
      </c>
      <c r="G94" s="7">
        <v>5.06</v>
      </c>
    </row>
    <row r="95" s="7" customFormat="1" ht="15.3" spans="1:7">
      <c r="A95" s="7" t="s">
        <v>29</v>
      </c>
      <c r="B95" s="9">
        <v>45938</v>
      </c>
      <c r="C95" s="10">
        <v>20</v>
      </c>
      <c r="D95" s="7">
        <v>16.51</v>
      </c>
      <c r="E95" s="7" t="s">
        <v>18</v>
      </c>
      <c r="F95" s="7">
        <v>0.3</v>
      </c>
      <c r="G95" s="7">
        <v>5.86</v>
      </c>
    </row>
    <row r="96" s="7" customFormat="1" ht="15.3" spans="1:7">
      <c r="A96" s="7" t="s">
        <v>29</v>
      </c>
      <c r="B96" s="9">
        <v>45938</v>
      </c>
      <c r="C96" s="10">
        <v>22</v>
      </c>
      <c r="D96" s="7">
        <v>16.51</v>
      </c>
      <c r="E96" s="7" t="s">
        <v>18</v>
      </c>
      <c r="F96" s="7">
        <v>0.2</v>
      </c>
      <c r="G96" s="7">
        <v>4.96</v>
      </c>
    </row>
    <row r="97" s="7" customFormat="1" ht="15.3" spans="1:7">
      <c r="A97" s="7" t="s">
        <v>29</v>
      </c>
      <c r="B97" s="9">
        <v>45938</v>
      </c>
      <c r="C97" s="10">
        <v>24</v>
      </c>
      <c r="D97" s="7">
        <v>16.46</v>
      </c>
      <c r="E97" s="7" t="s">
        <v>17</v>
      </c>
      <c r="F97" s="7">
        <v>1.1</v>
      </c>
      <c r="G97" s="7">
        <v>4.92</v>
      </c>
    </row>
    <row r="98" s="7" customFormat="1" ht="15.3" spans="1:7">
      <c r="A98" s="7" t="s">
        <v>29</v>
      </c>
      <c r="B98" s="9">
        <v>45939</v>
      </c>
      <c r="C98" s="10">
        <v>2</v>
      </c>
      <c r="D98" s="7">
        <v>16.36</v>
      </c>
      <c r="E98" s="7" t="s">
        <v>17</v>
      </c>
      <c r="F98" s="7">
        <v>0.8</v>
      </c>
      <c r="G98" s="7">
        <v>5.63</v>
      </c>
    </row>
    <row r="99" s="7" customFormat="1" ht="15.3" spans="1:7">
      <c r="A99" s="7" t="s">
        <v>29</v>
      </c>
      <c r="B99" s="9">
        <v>45939</v>
      </c>
      <c r="C99" s="10">
        <v>4</v>
      </c>
      <c r="D99" s="7">
        <v>16.36</v>
      </c>
      <c r="E99" s="7" t="s">
        <v>17</v>
      </c>
      <c r="F99" s="7">
        <v>0.6</v>
      </c>
      <c r="G99" s="7">
        <v>4.8</v>
      </c>
    </row>
    <row r="100" s="7" customFormat="1" ht="15.3" spans="1:7">
      <c r="A100" s="7" t="s">
        <v>29</v>
      </c>
      <c r="B100" s="9">
        <v>45939</v>
      </c>
      <c r="C100" s="10">
        <v>6</v>
      </c>
      <c r="D100" s="7">
        <v>15.91</v>
      </c>
      <c r="E100" s="7" t="s">
        <v>20</v>
      </c>
      <c r="F100" s="7">
        <v>1.8</v>
      </c>
      <c r="G100" s="7">
        <v>4.42</v>
      </c>
    </row>
    <row r="101" s="7" customFormat="1" ht="15.3" spans="1:7">
      <c r="A101" s="7" t="s">
        <v>29</v>
      </c>
      <c r="B101" s="9">
        <v>45939</v>
      </c>
      <c r="C101" s="10">
        <v>8</v>
      </c>
      <c r="D101" s="7">
        <v>15.36</v>
      </c>
      <c r="E101" s="7" t="s">
        <v>20</v>
      </c>
      <c r="F101" s="7">
        <v>2.1</v>
      </c>
      <c r="G101" s="7">
        <v>4.74</v>
      </c>
    </row>
    <row r="102" s="7" customFormat="1" ht="15.3" spans="1:7">
      <c r="A102" s="7" t="s">
        <v>29</v>
      </c>
      <c r="B102" s="9">
        <v>45939</v>
      </c>
      <c r="C102" s="10">
        <v>10</v>
      </c>
      <c r="D102" s="7">
        <v>15.76</v>
      </c>
      <c r="E102" s="7" t="s">
        <v>20</v>
      </c>
      <c r="F102" s="7">
        <v>1.7</v>
      </c>
      <c r="G102" s="7">
        <v>4.25</v>
      </c>
    </row>
    <row r="103" s="7" customFormat="1" ht="15.3" spans="1:7">
      <c r="A103" s="7" t="s">
        <v>29</v>
      </c>
      <c r="B103" s="9">
        <v>45939</v>
      </c>
      <c r="C103" s="10">
        <v>12</v>
      </c>
      <c r="D103" s="7">
        <v>16.56</v>
      </c>
      <c r="E103" s="7" t="s">
        <v>20</v>
      </c>
      <c r="F103" s="7">
        <v>1.7</v>
      </c>
      <c r="G103" s="7">
        <v>4.63</v>
      </c>
    </row>
    <row r="104" s="7" customFormat="1" ht="15.3" spans="1:7">
      <c r="A104" s="7" t="s">
        <v>29</v>
      </c>
      <c r="B104" s="9">
        <v>45939</v>
      </c>
      <c r="C104" s="10">
        <v>14</v>
      </c>
      <c r="D104" s="7">
        <v>16.91</v>
      </c>
      <c r="E104" s="7" t="s">
        <v>17</v>
      </c>
      <c r="F104" s="7">
        <v>0.9</v>
      </c>
      <c r="G104" s="7">
        <v>4.4</v>
      </c>
    </row>
    <row r="105" s="7" customFormat="1" ht="15.3" spans="1:7">
      <c r="A105" s="7" t="s">
        <v>29</v>
      </c>
      <c r="B105" s="9">
        <v>45939</v>
      </c>
      <c r="C105" s="10">
        <v>16</v>
      </c>
      <c r="D105" s="7">
        <v>16.56</v>
      </c>
      <c r="E105" s="7" t="s">
        <v>20</v>
      </c>
      <c r="F105" s="7">
        <v>1.5</v>
      </c>
      <c r="G105" s="7">
        <v>4.28</v>
      </c>
    </row>
    <row r="106" s="7" customFormat="1" ht="15.3" spans="1:7">
      <c r="A106" s="7" t="s">
        <v>29</v>
      </c>
      <c r="B106" s="9">
        <v>45939</v>
      </c>
      <c r="C106" s="10">
        <v>18</v>
      </c>
      <c r="D106" s="7">
        <v>16.11</v>
      </c>
      <c r="E106" s="7" t="s">
        <v>17</v>
      </c>
      <c r="F106" s="7">
        <v>1.1</v>
      </c>
      <c r="G106" s="7">
        <v>5.38</v>
      </c>
    </row>
    <row r="107" s="7" customFormat="1" ht="15.3" spans="1:7">
      <c r="A107" s="7" t="s">
        <v>29</v>
      </c>
      <c r="B107" s="9">
        <v>45939</v>
      </c>
      <c r="C107" s="10">
        <v>20</v>
      </c>
      <c r="D107" s="7">
        <v>15.91</v>
      </c>
      <c r="E107" s="7" t="s">
        <v>17</v>
      </c>
      <c r="F107" s="7">
        <v>0.4</v>
      </c>
      <c r="G107" s="7">
        <v>5.33</v>
      </c>
    </row>
    <row r="108" s="7" customFormat="1" ht="15.3" spans="1:7">
      <c r="A108" s="7" t="s">
        <v>29</v>
      </c>
      <c r="B108" s="9">
        <v>45939</v>
      </c>
      <c r="C108" s="10">
        <v>22</v>
      </c>
      <c r="D108" s="7">
        <v>15.86</v>
      </c>
      <c r="E108" s="7" t="s">
        <v>18</v>
      </c>
      <c r="F108" s="7">
        <v>0.1</v>
      </c>
      <c r="G108" s="7">
        <v>4.58</v>
      </c>
    </row>
    <row r="109" s="7" customFormat="1" ht="15.3" spans="1:7">
      <c r="A109" s="7" t="s">
        <v>29</v>
      </c>
      <c r="B109" s="9">
        <v>45939</v>
      </c>
      <c r="C109" s="10">
        <v>24</v>
      </c>
      <c r="D109" s="7">
        <v>15.76</v>
      </c>
      <c r="E109" s="7" t="s">
        <v>17</v>
      </c>
      <c r="F109" s="7">
        <v>0.8</v>
      </c>
      <c r="G109" s="7">
        <v>4.28</v>
      </c>
    </row>
    <row r="110" s="7" customFormat="1" ht="15.3" spans="1:7">
      <c r="A110" s="7" t="s">
        <v>29</v>
      </c>
      <c r="B110" s="9">
        <v>45940</v>
      </c>
      <c r="C110" s="10">
        <v>2</v>
      </c>
      <c r="D110" s="7">
        <v>15.96</v>
      </c>
      <c r="E110" s="7" t="s">
        <v>17</v>
      </c>
      <c r="F110" s="7">
        <v>0.6</v>
      </c>
      <c r="G110" s="7">
        <v>4.44</v>
      </c>
    </row>
    <row r="111" s="7" customFormat="1" ht="15.3" spans="1:7">
      <c r="A111" s="7" t="s">
        <v>29</v>
      </c>
      <c r="B111" s="9">
        <v>45940</v>
      </c>
      <c r="C111" s="10">
        <v>4</v>
      </c>
      <c r="D111" s="7">
        <v>15.81</v>
      </c>
      <c r="E111" s="7" t="s">
        <v>21</v>
      </c>
      <c r="F111" s="7">
        <v>4.3</v>
      </c>
      <c r="G111" s="7">
        <v>4.27</v>
      </c>
    </row>
    <row r="112" s="7" customFormat="1" ht="15.3" spans="1:7">
      <c r="A112" s="7" t="s">
        <v>29</v>
      </c>
      <c r="B112" s="9">
        <v>45940</v>
      </c>
      <c r="C112" s="10">
        <v>6</v>
      </c>
      <c r="D112" s="7">
        <v>16.01</v>
      </c>
      <c r="E112" s="7" t="s">
        <v>17</v>
      </c>
      <c r="F112" s="7">
        <v>0.6</v>
      </c>
      <c r="G112" s="7">
        <v>5.53</v>
      </c>
    </row>
    <row r="113" s="7" customFormat="1" ht="15.3" spans="1:7">
      <c r="A113" s="7" t="s">
        <v>29</v>
      </c>
      <c r="B113" s="9">
        <v>45940</v>
      </c>
      <c r="C113" s="10">
        <v>8</v>
      </c>
      <c r="D113" s="7">
        <v>16.16</v>
      </c>
      <c r="E113" s="7" t="s">
        <v>16</v>
      </c>
      <c r="F113" s="7">
        <v>0</v>
      </c>
      <c r="G113" s="7">
        <v>4.9</v>
      </c>
    </row>
    <row r="114" s="7" customFormat="1" ht="15.3" spans="1:7">
      <c r="A114" s="7" t="s">
        <v>29</v>
      </c>
      <c r="B114" s="9">
        <v>45940</v>
      </c>
      <c r="C114" s="10">
        <v>10</v>
      </c>
      <c r="D114" s="7">
        <v>15.61</v>
      </c>
      <c r="E114" s="7" t="s">
        <v>17</v>
      </c>
      <c r="F114" s="7">
        <v>0.6</v>
      </c>
      <c r="G114" s="7">
        <v>4.73</v>
      </c>
    </row>
    <row r="115" s="7" customFormat="1" ht="15.3" spans="1:7">
      <c r="A115" s="7" t="s">
        <v>29</v>
      </c>
      <c r="B115" s="9">
        <v>45940</v>
      </c>
      <c r="C115" s="10">
        <v>12</v>
      </c>
      <c r="D115" s="7">
        <v>17.36</v>
      </c>
      <c r="E115" s="7" t="s">
        <v>18</v>
      </c>
      <c r="F115" s="7">
        <v>0</v>
      </c>
      <c r="G115" s="7">
        <v>5.01</v>
      </c>
    </row>
    <row r="116" s="7" customFormat="1" ht="15.3" spans="1:7">
      <c r="A116" s="7" t="s">
        <v>29</v>
      </c>
      <c r="B116" s="9">
        <v>45940</v>
      </c>
      <c r="C116" s="10">
        <v>14</v>
      </c>
      <c r="D116" s="7">
        <v>17.81</v>
      </c>
      <c r="E116" s="7" t="s">
        <v>18</v>
      </c>
      <c r="F116" s="7">
        <v>0</v>
      </c>
      <c r="G116" s="7">
        <v>5.2</v>
      </c>
    </row>
    <row r="117" s="7" customFormat="1" ht="15.3" spans="1:7">
      <c r="A117" s="7" t="s">
        <v>29</v>
      </c>
      <c r="B117" s="9">
        <v>45940</v>
      </c>
      <c r="C117" s="10">
        <v>16</v>
      </c>
      <c r="D117" s="7">
        <v>16.86</v>
      </c>
      <c r="E117" s="7" t="s">
        <v>18</v>
      </c>
      <c r="F117" s="7">
        <v>0</v>
      </c>
      <c r="G117" s="7">
        <v>3.61</v>
      </c>
    </row>
    <row r="118" s="7" customFormat="1" ht="15.3" spans="1:7">
      <c r="A118" s="7" t="s">
        <v>29</v>
      </c>
      <c r="B118" s="9">
        <v>45940</v>
      </c>
      <c r="C118" s="10">
        <v>18</v>
      </c>
      <c r="D118" s="7">
        <v>16.51</v>
      </c>
      <c r="E118" s="7" t="s">
        <v>18</v>
      </c>
      <c r="F118" s="7">
        <v>0</v>
      </c>
      <c r="G118" s="7">
        <v>3.26</v>
      </c>
    </row>
    <row r="119" s="7" customFormat="1" ht="15.3" spans="1:7">
      <c r="A119" s="7" t="s">
        <v>29</v>
      </c>
      <c r="B119" s="9">
        <v>45940</v>
      </c>
      <c r="C119" s="10">
        <v>20</v>
      </c>
      <c r="D119" s="7">
        <v>15.96</v>
      </c>
      <c r="E119" s="7" t="s">
        <v>18</v>
      </c>
      <c r="F119" s="7">
        <v>0.1</v>
      </c>
      <c r="G119" s="7">
        <v>3.15</v>
      </c>
    </row>
    <row r="120" s="7" customFormat="1" ht="15.3" spans="1:7">
      <c r="A120" s="7" t="s">
        <v>29</v>
      </c>
      <c r="B120" s="9">
        <v>45940</v>
      </c>
      <c r="C120" s="10">
        <v>22</v>
      </c>
      <c r="D120" s="7">
        <v>15.26</v>
      </c>
      <c r="E120" s="7" t="s">
        <v>18</v>
      </c>
      <c r="F120" s="7">
        <v>0.2</v>
      </c>
      <c r="G120" s="7">
        <v>3.35</v>
      </c>
    </row>
    <row r="121" s="7" customFormat="1" ht="15.3" spans="1:7">
      <c r="A121" s="7" t="s">
        <v>29</v>
      </c>
      <c r="B121" s="9">
        <v>45940</v>
      </c>
      <c r="C121" s="10">
        <v>24</v>
      </c>
      <c r="D121" s="7">
        <v>15.41</v>
      </c>
      <c r="E121" s="7" t="s">
        <v>21</v>
      </c>
      <c r="F121" s="7">
        <v>3.1</v>
      </c>
      <c r="G121" s="7">
        <v>2.65</v>
      </c>
    </row>
    <row r="122" s="7" customFormat="1" ht="15.3" spans="1:7">
      <c r="A122" s="7" t="s">
        <v>29</v>
      </c>
      <c r="B122" s="9">
        <v>45941</v>
      </c>
      <c r="C122" s="10">
        <v>2</v>
      </c>
      <c r="D122" s="7">
        <v>15.61</v>
      </c>
      <c r="E122" s="7" t="s">
        <v>18</v>
      </c>
      <c r="F122" s="7">
        <v>0.1</v>
      </c>
      <c r="G122" s="7">
        <v>3.71</v>
      </c>
    </row>
    <row r="123" s="7" customFormat="1" ht="15.3" spans="1:7">
      <c r="A123" s="7" t="s">
        <v>29</v>
      </c>
      <c r="B123" s="9">
        <v>45941</v>
      </c>
      <c r="C123" s="10">
        <v>4</v>
      </c>
      <c r="D123" s="7">
        <v>14.76</v>
      </c>
      <c r="E123" s="7" t="s">
        <v>21</v>
      </c>
      <c r="F123" s="7">
        <v>2.7</v>
      </c>
      <c r="G123" s="7">
        <v>4.55</v>
      </c>
    </row>
    <row r="124" s="7" customFormat="1" ht="15.3" spans="1:7">
      <c r="A124" s="7" t="s">
        <v>29</v>
      </c>
      <c r="B124" s="9">
        <v>45941</v>
      </c>
      <c r="C124" s="10">
        <v>6</v>
      </c>
      <c r="D124" s="7">
        <v>14.01</v>
      </c>
      <c r="E124" s="7" t="s">
        <v>17</v>
      </c>
      <c r="F124" s="7">
        <v>1.2</v>
      </c>
      <c r="G124" s="7">
        <v>3.71</v>
      </c>
    </row>
    <row r="125" s="7" customFormat="1" ht="15.3" spans="1:7">
      <c r="A125" s="7" t="s">
        <v>29</v>
      </c>
      <c r="B125" s="9">
        <v>45941</v>
      </c>
      <c r="C125" s="10">
        <v>8</v>
      </c>
      <c r="D125" s="7">
        <v>14.11</v>
      </c>
      <c r="E125" s="7" t="s">
        <v>17</v>
      </c>
      <c r="F125" s="7">
        <v>0.8</v>
      </c>
      <c r="G125" s="7">
        <v>3</v>
      </c>
    </row>
    <row r="126" s="7" customFormat="1" ht="15.3" spans="1:7">
      <c r="A126" s="7" t="s">
        <v>29</v>
      </c>
      <c r="B126" s="9">
        <v>45941</v>
      </c>
      <c r="C126" s="10">
        <v>10</v>
      </c>
      <c r="D126" s="7">
        <v>14.41</v>
      </c>
      <c r="E126" s="7" t="s">
        <v>18</v>
      </c>
      <c r="F126" s="7">
        <v>0.1</v>
      </c>
      <c r="G126" s="7">
        <v>3.1</v>
      </c>
    </row>
    <row r="127" s="7" customFormat="1" ht="15.3" spans="1:7">
      <c r="A127" s="7" t="s">
        <v>29</v>
      </c>
      <c r="B127" s="9">
        <v>45941</v>
      </c>
      <c r="C127" s="10">
        <v>12</v>
      </c>
      <c r="D127" s="7">
        <v>14.96</v>
      </c>
      <c r="E127" s="7" t="s">
        <v>18</v>
      </c>
      <c r="F127" s="7">
        <v>0.3</v>
      </c>
      <c r="G127" s="7">
        <v>2.3</v>
      </c>
    </row>
    <row r="128" s="7" customFormat="1" ht="15.3" spans="1:7">
      <c r="A128" s="7" t="s">
        <v>29</v>
      </c>
      <c r="B128" s="9">
        <v>45941</v>
      </c>
      <c r="C128" s="10">
        <v>14</v>
      </c>
      <c r="D128" s="7">
        <v>14.91</v>
      </c>
      <c r="E128" s="7" t="s">
        <v>20</v>
      </c>
      <c r="F128" s="7">
        <v>1.6</v>
      </c>
      <c r="G128" s="7">
        <v>3.17</v>
      </c>
    </row>
    <row r="129" s="7" customFormat="1" ht="15.3" spans="1:7">
      <c r="A129" s="7" t="s">
        <v>29</v>
      </c>
      <c r="B129" s="9">
        <v>45941</v>
      </c>
      <c r="C129" s="10">
        <v>16</v>
      </c>
      <c r="D129" s="7">
        <v>14.66</v>
      </c>
      <c r="E129" s="7" t="s">
        <v>17</v>
      </c>
      <c r="F129" s="7">
        <v>0.5</v>
      </c>
      <c r="G129" s="7">
        <v>2.2</v>
      </c>
    </row>
    <row r="130" s="7" customFormat="1" ht="15.3" spans="1:7">
      <c r="A130" s="7" t="s">
        <v>29</v>
      </c>
      <c r="B130" s="9">
        <v>45941</v>
      </c>
      <c r="C130" s="10">
        <v>18</v>
      </c>
      <c r="D130" s="7">
        <v>14.06</v>
      </c>
      <c r="E130" s="7" t="s">
        <v>16</v>
      </c>
      <c r="F130" s="7">
        <v>0.1</v>
      </c>
      <c r="G130" s="7">
        <v>1.63</v>
      </c>
    </row>
    <row r="131" s="7" customFormat="1" ht="15.3" spans="1:7">
      <c r="A131" s="7" t="s">
        <v>29</v>
      </c>
      <c r="B131" s="9">
        <v>45941</v>
      </c>
      <c r="C131" s="10">
        <v>20</v>
      </c>
      <c r="D131" s="7">
        <v>13.06</v>
      </c>
      <c r="E131" s="7" t="s">
        <v>16</v>
      </c>
      <c r="F131" s="7">
        <v>0.1</v>
      </c>
      <c r="G131" s="7">
        <v>0.96</v>
      </c>
    </row>
    <row r="132" s="7" customFormat="1" ht="15.3" spans="1:7">
      <c r="A132" s="7" t="s">
        <v>29</v>
      </c>
      <c r="B132" s="9">
        <v>45941</v>
      </c>
      <c r="C132" s="10">
        <v>22</v>
      </c>
      <c r="D132" s="7">
        <v>13.56</v>
      </c>
      <c r="E132" s="7" t="s">
        <v>17</v>
      </c>
      <c r="F132" s="7">
        <v>0.4</v>
      </c>
      <c r="G132" s="7">
        <v>1.51</v>
      </c>
    </row>
    <row r="133" s="7" customFormat="1" ht="15.3" spans="1:7">
      <c r="A133" s="7" t="s">
        <v>29</v>
      </c>
      <c r="B133" s="9">
        <v>45941</v>
      </c>
      <c r="C133" s="10">
        <v>24</v>
      </c>
      <c r="D133" s="7">
        <v>13.41</v>
      </c>
      <c r="E133" s="7" t="s">
        <v>16</v>
      </c>
      <c r="F133" s="7">
        <v>0.2</v>
      </c>
      <c r="G133" s="7">
        <v>1.66</v>
      </c>
    </row>
    <row r="134" s="7" customFormat="1" ht="15.3" spans="1:7">
      <c r="A134" s="7" t="s">
        <v>29</v>
      </c>
      <c r="B134" s="9">
        <v>45942</v>
      </c>
      <c r="C134" s="10">
        <v>2</v>
      </c>
      <c r="D134" s="7">
        <v>13.41</v>
      </c>
      <c r="E134" s="7" t="s">
        <v>17</v>
      </c>
      <c r="F134" s="7">
        <v>0.4</v>
      </c>
      <c r="G134" s="7">
        <v>1.3</v>
      </c>
    </row>
    <row r="135" s="7" customFormat="1" ht="15.3" spans="1:7">
      <c r="A135" s="7" t="s">
        <v>29</v>
      </c>
      <c r="B135" s="9">
        <v>45942</v>
      </c>
      <c r="C135" s="10">
        <v>4</v>
      </c>
      <c r="D135" s="7">
        <v>13.21</v>
      </c>
      <c r="E135" s="7" t="s">
        <v>20</v>
      </c>
      <c r="F135" s="7">
        <v>2.3</v>
      </c>
      <c r="G135" s="7">
        <v>1.17</v>
      </c>
    </row>
    <row r="136" s="7" customFormat="1" ht="15.3" spans="1:7">
      <c r="A136" s="7" t="s">
        <v>29</v>
      </c>
      <c r="B136" s="9">
        <v>45942</v>
      </c>
      <c r="C136" s="10">
        <v>6</v>
      </c>
      <c r="D136" s="7">
        <v>13.41</v>
      </c>
      <c r="E136" s="7" t="s">
        <v>20</v>
      </c>
      <c r="F136" s="7">
        <v>2</v>
      </c>
      <c r="G136" s="7">
        <v>1.79</v>
      </c>
    </row>
    <row r="137" s="7" customFormat="1" ht="15.3" spans="1:7">
      <c r="A137" s="7" t="s">
        <v>29</v>
      </c>
      <c r="B137" s="9">
        <v>45942</v>
      </c>
      <c r="C137" s="10">
        <v>8</v>
      </c>
      <c r="D137" s="7">
        <v>14.26</v>
      </c>
      <c r="E137" s="7" t="s">
        <v>16</v>
      </c>
      <c r="F137" s="7">
        <v>0.1</v>
      </c>
      <c r="G137" s="7">
        <v>1.89</v>
      </c>
    </row>
    <row r="138" s="7" customFormat="1" ht="15.3" spans="1:7">
      <c r="A138" s="7" t="s">
        <v>29</v>
      </c>
      <c r="B138" s="9">
        <v>45942</v>
      </c>
      <c r="C138" s="10">
        <v>10</v>
      </c>
      <c r="D138" s="7">
        <v>15.06</v>
      </c>
      <c r="E138" s="7" t="s">
        <v>17</v>
      </c>
      <c r="F138" s="7">
        <v>0.6</v>
      </c>
      <c r="G138" s="7">
        <v>2.46</v>
      </c>
    </row>
    <row r="139" s="7" customFormat="1" ht="15.3" spans="1:7">
      <c r="A139" s="7" t="s">
        <v>29</v>
      </c>
      <c r="B139" s="9">
        <v>45942</v>
      </c>
      <c r="C139" s="10">
        <v>12</v>
      </c>
      <c r="D139" s="7">
        <v>15.86</v>
      </c>
      <c r="E139" s="7" t="s">
        <v>17</v>
      </c>
      <c r="F139" s="7">
        <v>0.7</v>
      </c>
      <c r="G139" s="7">
        <v>2.16</v>
      </c>
    </row>
    <row r="140" s="7" customFormat="1" ht="15.3" spans="1:7">
      <c r="A140" s="7" t="s">
        <v>29</v>
      </c>
      <c r="B140" s="9">
        <v>45942</v>
      </c>
      <c r="C140" s="10">
        <v>14</v>
      </c>
      <c r="D140" s="7">
        <v>16.56</v>
      </c>
      <c r="E140" s="7" t="s">
        <v>16</v>
      </c>
      <c r="F140" s="7">
        <v>0.3</v>
      </c>
      <c r="G140" s="7">
        <v>3.62</v>
      </c>
    </row>
    <row r="141" s="7" customFormat="1" ht="15.3" spans="1:7">
      <c r="A141" s="7" t="s">
        <v>29</v>
      </c>
      <c r="B141" s="9">
        <v>45942</v>
      </c>
      <c r="C141" s="10">
        <v>16</v>
      </c>
      <c r="D141" s="7">
        <v>15.51</v>
      </c>
      <c r="E141" s="7" t="s">
        <v>17</v>
      </c>
      <c r="F141" s="7">
        <v>1.1</v>
      </c>
      <c r="G141" s="7">
        <v>3.93</v>
      </c>
    </row>
    <row r="142" s="7" customFormat="1" ht="15.3" spans="1:7">
      <c r="A142" s="7" t="s">
        <v>29</v>
      </c>
      <c r="B142" s="9">
        <v>45942</v>
      </c>
      <c r="C142" s="10">
        <v>18</v>
      </c>
      <c r="D142" s="7">
        <v>15.06</v>
      </c>
      <c r="E142" s="7" t="s">
        <v>17</v>
      </c>
      <c r="F142" s="7">
        <v>1.1</v>
      </c>
      <c r="G142" s="7">
        <v>3.35</v>
      </c>
    </row>
    <row r="143" s="7" customFormat="1" ht="15.3" spans="1:7">
      <c r="A143" s="7" t="s">
        <v>29</v>
      </c>
      <c r="B143" s="9">
        <v>45942</v>
      </c>
      <c r="C143" s="10">
        <v>20</v>
      </c>
      <c r="D143" s="7">
        <v>14.66</v>
      </c>
      <c r="E143" s="7" t="s">
        <v>20</v>
      </c>
      <c r="F143" s="7">
        <v>2.1</v>
      </c>
      <c r="G143" s="7">
        <v>3.22</v>
      </c>
    </row>
    <row r="144" s="7" customFormat="1" ht="15.3" spans="1:7">
      <c r="A144" s="7" t="s">
        <v>29</v>
      </c>
      <c r="B144" s="9">
        <v>45942</v>
      </c>
      <c r="C144" s="10">
        <v>22</v>
      </c>
      <c r="D144" s="7">
        <v>13.86</v>
      </c>
      <c r="E144" s="7" t="s">
        <v>17</v>
      </c>
      <c r="F144" s="7">
        <v>0.9</v>
      </c>
      <c r="G144" s="7">
        <v>2.58</v>
      </c>
    </row>
    <row r="145" s="7" customFormat="1" ht="15.3" spans="1:7">
      <c r="A145" s="7" t="s">
        <v>29</v>
      </c>
      <c r="B145" s="9">
        <v>45942</v>
      </c>
      <c r="C145" s="10">
        <v>24</v>
      </c>
      <c r="D145" s="7">
        <v>13.46</v>
      </c>
      <c r="E145" s="7" t="s">
        <v>17</v>
      </c>
      <c r="F145" s="7">
        <v>0.8</v>
      </c>
      <c r="G145" s="7">
        <v>1.96</v>
      </c>
    </row>
    <row r="146" s="7" customFormat="1" ht="15.3" spans="1:7">
      <c r="A146" s="7" t="s">
        <v>29</v>
      </c>
      <c r="B146" s="9">
        <v>45943</v>
      </c>
      <c r="C146" s="10">
        <v>2</v>
      </c>
      <c r="D146" s="7">
        <v>13.51</v>
      </c>
      <c r="E146" s="7" t="s">
        <v>16</v>
      </c>
      <c r="F146" s="7">
        <v>0.1</v>
      </c>
      <c r="G146" s="7">
        <v>1.33</v>
      </c>
    </row>
    <row r="147" s="7" customFormat="1" ht="15.3" spans="1:7">
      <c r="A147" s="7" t="s">
        <v>29</v>
      </c>
      <c r="B147" s="9">
        <v>45943</v>
      </c>
      <c r="C147" s="10">
        <v>4</v>
      </c>
      <c r="D147" s="7">
        <v>12.91</v>
      </c>
      <c r="E147" s="7" t="s">
        <v>16</v>
      </c>
      <c r="F147" s="7">
        <v>0</v>
      </c>
      <c r="G147" s="7">
        <v>1.7</v>
      </c>
    </row>
    <row r="148" s="7" customFormat="1" ht="15.3" spans="1:7">
      <c r="A148" s="7" t="s">
        <v>29</v>
      </c>
      <c r="B148" s="9">
        <v>45943</v>
      </c>
      <c r="C148" s="10">
        <v>6</v>
      </c>
      <c r="D148" s="7">
        <v>12.96</v>
      </c>
      <c r="E148" s="7" t="s">
        <v>16</v>
      </c>
      <c r="F148" s="7">
        <v>0.1</v>
      </c>
      <c r="G148" s="7">
        <v>1.57</v>
      </c>
    </row>
    <row r="149" s="7" customFormat="1" ht="15.3" spans="1:7">
      <c r="A149" s="7" t="s">
        <v>29</v>
      </c>
      <c r="B149" s="9">
        <v>45943</v>
      </c>
      <c r="C149" s="10">
        <v>8</v>
      </c>
      <c r="D149" s="7">
        <v>13.21</v>
      </c>
      <c r="E149" s="7" t="s">
        <v>16</v>
      </c>
      <c r="F149" s="7">
        <v>0</v>
      </c>
      <c r="G149" s="7">
        <v>1.76</v>
      </c>
    </row>
    <row r="150" s="7" customFormat="1" ht="15.3" spans="1:7">
      <c r="A150" s="7" t="s">
        <v>29</v>
      </c>
      <c r="B150" s="9">
        <v>45943</v>
      </c>
      <c r="C150" s="10">
        <v>10</v>
      </c>
      <c r="D150" s="7">
        <v>15.91</v>
      </c>
      <c r="E150" s="7" t="s">
        <v>16</v>
      </c>
      <c r="F150" s="7">
        <v>0</v>
      </c>
      <c r="G150" s="7">
        <v>2.17</v>
      </c>
    </row>
    <row r="151" s="7" customFormat="1" ht="15.3" spans="1:7">
      <c r="A151" s="7" t="s">
        <v>29</v>
      </c>
      <c r="B151" s="9">
        <v>45943</v>
      </c>
      <c r="C151" s="10">
        <v>12</v>
      </c>
      <c r="D151" s="7">
        <v>18.56</v>
      </c>
      <c r="E151" s="7" t="s">
        <v>16</v>
      </c>
      <c r="F151" s="7">
        <v>0</v>
      </c>
      <c r="G151" s="7">
        <v>1.91</v>
      </c>
    </row>
    <row r="152" s="7" customFormat="1" ht="15.3" spans="1:7">
      <c r="A152" s="7" t="s">
        <v>29</v>
      </c>
      <c r="B152" s="9">
        <v>45943</v>
      </c>
      <c r="C152" s="10">
        <v>14</v>
      </c>
      <c r="D152" s="7">
        <v>19.81</v>
      </c>
      <c r="E152" s="7" t="s">
        <v>16</v>
      </c>
      <c r="F152" s="7">
        <v>0</v>
      </c>
      <c r="G152" s="7">
        <v>2.25</v>
      </c>
    </row>
    <row r="153" s="7" customFormat="1" ht="15.3" spans="1:7">
      <c r="A153" s="7" t="s">
        <v>29</v>
      </c>
      <c r="B153" s="9">
        <v>45943</v>
      </c>
      <c r="C153" s="10">
        <v>16</v>
      </c>
      <c r="D153" s="7">
        <v>19.86</v>
      </c>
      <c r="E153" s="7" t="s">
        <v>16</v>
      </c>
      <c r="F153" s="7">
        <v>0</v>
      </c>
      <c r="G153" s="7">
        <v>2.08</v>
      </c>
    </row>
    <row r="154" s="7" customFormat="1" ht="15.3" spans="1:7">
      <c r="A154" s="7" t="s">
        <v>29</v>
      </c>
      <c r="B154" s="9">
        <v>45943</v>
      </c>
      <c r="C154" s="10">
        <v>18</v>
      </c>
      <c r="D154" s="7">
        <v>18.01</v>
      </c>
      <c r="E154" s="7" t="s">
        <v>16</v>
      </c>
      <c r="F154" s="7">
        <v>0</v>
      </c>
      <c r="G154" s="7">
        <v>0.78</v>
      </c>
    </row>
    <row r="155" s="7" customFormat="1" ht="15.3" spans="1:7">
      <c r="A155" s="7" t="s">
        <v>29</v>
      </c>
      <c r="B155" s="9">
        <v>45943</v>
      </c>
      <c r="C155" s="10">
        <v>20</v>
      </c>
      <c r="D155" s="7">
        <v>14.86</v>
      </c>
      <c r="E155" s="7" t="s">
        <v>16</v>
      </c>
      <c r="F155" s="7">
        <v>0</v>
      </c>
      <c r="G155" s="7">
        <v>1.36</v>
      </c>
    </row>
    <row r="156" s="7" customFormat="1" ht="15.3" spans="1:7">
      <c r="A156" s="7" t="s">
        <v>29</v>
      </c>
      <c r="B156" s="9">
        <v>45943</v>
      </c>
      <c r="C156" s="10">
        <v>22</v>
      </c>
      <c r="D156" s="7">
        <v>13.36</v>
      </c>
      <c r="E156" s="7" t="s">
        <v>16</v>
      </c>
      <c r="F156" s="7">
        <v>0</v>
      </c>
      <c r="G156" s="7">
        <v>0.65</v>
      </c>
    </row>
    <row r="157" s="7" customFormat="1" ht="15.3" spans="1:7">
      <c r="A157" s="7" t="s">
        <v>29</v>
      </c>
      <c r="B157" s="9">
        <v>45943</v>
      </c>
      <c r="C157" s="10">
        <v>24</v>
      </c>
      <c r="D157" s="7">
        <v>12.26</v>
      </c>
      <c r="E157" s="7" t="s">
        <v>16</v>
      </c>
      <c r="F157" s="7">
        <v>0</v>
      </c>
      <c r="G157" s="7">
        <v>0.47</v>
      </c>
    </row>
    <row r="158" s="7" customFormat="1" ht="15.3" spans="1:7">
      <c r="A158" s="7" t="s">
        <v>29</v>
      </c>
      <c r="B158" s="9">
        <v>45944</v>
      </c>
      <c r="C158" s="10">
        <v>2</v>
      </c>
      <c r="D158" s="7">
        <v>11.26</v>
      </c>
      <c r="E158" s="7" t="s">
        <v>16</v>
      </c>
      <c r="F158" s="7">
        <v>0</v>
      </c>
      <c r="G158" s="7">
        <v>0.47</v>
      </c>
    </row>
    <row r="159" s="7" customFormat="1" ht="15.3" spans="1:7">
      <c r="A159" s="7" t="s">
        <v>29</v>
      </c>
      <c r="B159" s="9">
        <v>45944</v>
      </c>
      <c r="C159" s="10">
        <v>4</v>
      </c>
      <c r="D159" s="7">
        <v>10.36</v>
      </c>
      <c r="E159" s="7" t="s">
        <v>16</v>
      </c>
      <c r="F159" s="7">
        <v>0</v>
      </c>
      <c r="G159" s="7">
        <v>0.64</v>
      </c>
    </row>
    <row r="160" s="7" customFormat="1" ht="15.3" spans="1:7">
      <c r="A160" s="7" t="s">
        <v>29</v>
      </c>
      <c r="B160" s="9">
        <v>45944</v>
      </c>
      <c r="C160" s="10">
        <v>6</v>
      </c>
      <c r="D160" s="7">
        <v>10.06</v>
      </c>
      <c r="E160" s="7" t="s">
        <v>16</v>
      </c>
      <c r="F160" s="7">
        <v>0</v>
      </c>
      <c r="G160" s="7">
        <v>0.3</v>
      </c>
    </row>
    <row r="161" s="7" customFormat="1" ht="15.3" spans="1:7">
      <c r="A161" s="7" t="s">
        <v>29</v>
      </c>
      <c r="B161" s="9">
        <v>45944</v>
      </c>
      <c r="C161" s="10">
        <v>8</v>
      </c>
      <c r="D161" s="7">
        <v>10.31</v>
      </c>
      <c r="E161" s="7" t="s">
        <v>16</v>
      </c>
      <c r="F161" s="7">
        <v>0</v>
      </c>
      <c r="G161" s="7">
        <v>0.21</v>
      </c>
    </row>
    <row r="162" s="7" customFormat="1" ht="15.3" spans="1:7">
      <c r="A162" s="7" t="s">
        <v>29</v>
      </c>
      <c r="B162" s="9">
        <v>45944</v>
      </c>
      <c r="C162" s="10">
        <v>10</v>
      </c>
      <c r="D162" s="7">
        <v>16.26</v>
      </c>
      <c r="E162" s="7" t="s">
        <v>16</v>
      </c>
      <c r="F162" s="7">
        <v>0</v>
      </c>
      <c r="G162" s="7">
        <v>0.07</v>
      </c>
    </row>
    <row r="163" s="7" customFormat="1" ht="15.3" spans="1:7">
      <c r="A163" s="7" t="s">
        <v>29</v>
      </c>
      <c r="B163" s="9">
        <v>45944</v>
      </c>
      <c r="C163" s="10">
        <v>12</v>
      </c>
      <c r="D163" s="7">
        <v>19.46</v>
      </c>
      <c r="E163" s="7" t="s">
        <v>16</v>
      </c>
      <c r="F163" s="7">
        <v>0</v>
      </c>
      <c r="G163" s="7">
        <v>0.85</v>
      </c>
    </row>
    <row r="164" s="7" customFormat="1" ht="15.3" spans="1:7">
      <c r="A164" s="7" t="s">
        <v>29</v>
      </c>
      <c r="B164" s="9">
        <v>45944</v>
      </c>
      <c r="C164" s="10">
        <v>14</v>
      </c>
      <c r="D164" s="7">
        <v>20.91</v>
      </c>
      <c r="E164" s="7" t="s">
        <v>16</v>
      </c>
      <c r="F164" s="7">
        <v>0</v>
      </c>
      <c r="G164" s="7">
        <v>1.74</v>
      </c>
    </row>
    <row r="165" s="7" customFormat="1" ht="15.3" spans="1:7">
      <c r="A165" s="7" t="s">
        <v>29</v>
      </c>
      <c r="B165" s="9">
        <v>45944</v>
      </c>
      <c r="C165" s="10">
        <v>16</v>
      </c>
      <c r="D165" s="7">
        <v>21.36</v>
      </c>
      <c r="E165" s="7" t="s">
        <v>16</v>
      </c>
      <c r="F165" s="7">
        <v>0</v>
      </c>
      <c r="G165" s="7">
        <v>1.88</v>
      </c>
    </row>
    <row r="166" s="7" customFormat="1" ht="15.3" spans="1:7">
      <c r="A166" s="7" t="s">
        <v>29</v>
      </c>
      <c r="B166" s="9">
        <v>45944</v>
      </c>
      <c r="C166" s="10">
        <v>18</v>
      </c>
      <c r="D166" s="7">
        <v>19.36</v>
      </c>
      <c r="E166" s="7" t="s">
        <v>16</v>
      </c>
      <c r="F166" s="7">
        <v>0</v>
      </c>
      <c r="G166" s="7">
        <v>1.69</v>
      </c>
    </row>
    <row r="167" s="7" customFormat="1" ht="15.3" spans="1:7">
      <c r="A167" s="7" t="s">
        <v>29</v>
      </c>
      <c r="B167" s="9">
        <v>45944</v>
      </c>
      <c r="C167" s="10">
        <v>20</v>
      </c>
      <c r="D167" s="7">
        <v>16.76</v>
      </c>
      <c r="E167" s="7" t="s">
        <v>16</v>
      </c>
      <c r="F167" s="7">
        <v>0</v>
      </c>
      <c r="G167" s="7">
        <v>2.44</v>
      </c>
    </row>
    <row r="168" s="7" customFormat="1" ht="15.3" spans="1:7">
      <c r="A168" s="7" t="s">
        <v>29</v>
      </c>
      <c r="B168" s="9">
        <v>45944</v>
      </c>
      <c r="C168" s="10">
        <v>22</v>
      </c>
      <c r="D168" s="7">
        <v>16.01</v>
      </c>
      <c r="E168" s="7" t="s">
        <v>16</v>
      </c>
      <c r="F168" s="7">
        <v>0</v>
      </c>
      <c r="G168" s="7">
        <v>1.99</v>
      </c>
    </row>
    <row r="169" s="7" customFormat="1" ht="15.3" spans="1:7">
      <c r="A169" s="7" t="s">
        <v>29</v>
      </c>
      <c r="B169" s="9">
        <v>45944</v>
      </c>
      <c r="C169" s="10">
        <v>24</v>
      </c>
      <c r="D169" s="7">
        <v>15.56</v>
      </c>
      <c r="E169" s="7" t="s">
        <v>16</v>
      </c>
      <c r="F169" s="7">
        <v>0</v>
      </c>
      <c r="G169" s="7">
        <v>2.64</v>
      </c>
    </row>
    <row r="170" s="7" customFormat="1" ht="15.3" spans="1:7">
      <c r="A170" s="7" t="s">
        <v>29</v>
      </c>
      <c r="B170" s="9">
        <v>45945</v>
      </c>
      <c r="C170" s="10">
        <v>2</v>
      </c>
      <c r="D170" s="7">
        <v>15.41</v>
      </c>
      <c r="E170" s="7" t="s">
        <v>16</v>
      </c>
      <c r="F170" s="7">
        <v>0</v>
      </c>
      <c r="G170" s="7">
        <v>2.48</v>
      </c>
    </row>
    <row r="171" s="7" customFormat="1" ht="15.3" spans="1:7">
      <c r="A171" s="7" t="s">
        <v>29</v>
      </c>
      <c r="B171" s="9">
        <v>45945</v>
      </c>
      <c r="C171" s="10">
        <v>4</v>
      </c>
      <c r="D171" s="7">
        <v>14.96</v>
      </c>
      <c r="E171" s="7" t="s">
        <v>16</v>
      </c>
      <c r="F171" s="7">
        <v>0</v>
      </c>
      <c r="G171" s="7">
        <v>1.88</v>
      </c>
    </row>
    <row r="172" s="7" customFormat="1" ht="15.3" spans="1:7">
      <c r="A172" s="7" t="s">
        <v>29</v>
      </c>
      <c r="B172" s="9">
        <v>45945</v>
      </c>
      <c r="C172" s="10">
        <v>6</v>
      </c>
      <c r="D172" s="7">
        <v>14.11</v>
      </c>
      <c r="E172" s="7" t="s">
        <v>16</v>
      </c>
      <c r="F172" s="7">
        <v>0</v>
      </c>
      <c r="G172" s="7">
        <v>1.31</v>
      </c>
    </row>
    <row r="173" s="7" customFormat="1" ht="15.3" spans="1:7">
      <c r="A173" s="7" t="s">
        <v>29</v>
      </c>
      <c r="B173" s="9">
        <v>45945</v>
      </c>
      <c r="C173" s="10">
        <v>8</v>
      </c>
      <c r="D173" s="7">
        <v>14.71</v>
      </c>
      <c r="E173" s="7" t="s">
        <v>16</v>
      </c>
      <c r="F173" s="7">
        <v>0</v>
      </c>
      <c r="G173" s="7">
        <v>2.35</v>
      </c>
    </row>
    <row r="174" s="7" customFormat="1" ht="15.3" spans="1:7">
      <c r="A174" s="7" t="s">
        <v>29</v>
      </c>
      <c r="B174" s="9">
        <v>45945</v>
      </c>
      <c r="C174" s="10">
        <v>10</v>
      </c>
      <c r="D174" s="7">
        <v>16.76</v>
      </c>
      <c r="E174" s="7" t="s">
        <v>16</v>
      </c>
      <c r="F174" s="7">
        <v>0</v>
      </c>
      <c r="G174" s="7">
        <v>1.58</v>
      </c>
    </row>
    <row r="175" s="7" customFormat="1" ht="15.3" spans="1:7">
      <c r="A175" s="7" t="s">
        <v>29</v>
      </c>
      <c r="B175" s="9">
        <v>45945</v>
      </c>
      <c r="C175" s="10">
        <v>12</v>
      </c>
      <c r="D175" s="7">
        <v>18.66</v>
      </c>
      <c r="E175" s="7" t="s">
        <v>16</v>
      </c>
      <c r="F175" s="7">
        <v>0</v>
      </c>
      <c r="G175" s="7">
        <v>1.57</v>
      </c>
    </row>
    <row r="176" s="7" customFormat="1" ht="15.3" spans="1:7">
      <c r="A176" s="7" t="s">
        <v>29</v>
      </c>
      <c r="B176" s="9">
        <v>45945</v>
      </c>
      <c r="C176" s="10">
        <v>14</v>
      </c>
      <c r="D176" s="7">
        <v>18.41</v>
      </c>
      <c r="E176" s="7" t="s">
        <v>16</v>
      </c>
      <c r="F176" s="7">
        <v>0.1</v>
      </c>
      <c r="G176" s="7">
        <v>0.89</v>
      </c>
    </row>
    <row r="177" s="7" customFormat="1" ht="15.3" spans="1:7">
      <c r="A177" s="7" t="s">
        <v>29</v>
      </c>
      <c r="B177" s="9">
        <v>45945</v>
      </c>
      <c r="C177" s="10">
        <v>16</v>
      </c>
      <c r="D177" s="7">
        <v>17.81</v>
      </c>
      <c r="E177" s="7" t="s">
        <v>20</v>
      </c>
      <c r="F177" s="7">
        <v>1.4</v>
      </c>
      <c r="G177" s="7">
        <v>0.96</v>
      </c>
    </row>
    <row r="178" s="7" customFormat="1" ht="15.3" spans="1:7">
      <c r="A178" s="7" t="s">
        <v>29</v>
      </c>
      <c r="B178" s="9">
        <v>45945</v>
      </c>
      <c r="C178" s="10">
        <v>18</v>
      </c>
      <c r="D178" s="7">
        <v>17.46</v>
      </c>
      <c r="E178" s="7" t="s">
        <v>16</v>
      </c>
      <c r="F178" s="7">
        <v>0</v>
      </c>
      <c r="G178" s="7">
        <v>0.96</v>
      </c>
    </row>
    <row r="179" s="7" customFormat="1" ht="15.3" spans="1:7">
      <c r="A179" s="7" t="s">
        <v>29</v>
      </c>
      <c r="B179" s="9">
        <v>45945</v>
      </c>
      <c r="C179" s="10">
        <v>20</v>
      </c>
      <c r="D179" s="7">
        <v>15.66</v>
      </c>
      <c r="E179" s="7" t="s">
        <v>16</v>
      </c>
      <c r="F179" s="7">
        <v>0</v>
      </c>
      <c r="G179" s="7">
        <v>1.46</v>
      </c>
    </row>
    <row r="180" s="7" customFormat="1" ht="15.3" spans="1:7">
      <c r="A180" s="7" t="s">
        <v>29</v>
      </c>
      <c r="B180" s="9">
        <v>45945</v>
      </c>
      <c r="C180" s="10">
        <v>22</v>
      </c>
      <c r="D180" s="7">
        <v>14.81</v>
      </c>
      <c r="E180" s="7" t="s">
        <v>16</v>
      </c>
      <c r="F180" s="7">
        <v>0</v>
      </c>
      <c r="G180" s="7">
        <v>0.56</v>
      </c>
    </row>
    <row r="181" s="7" customFormat="1" ht="15.3" spans="1:7">
      <c r="A181" s="7" t="s">
        <v>29</v>
      </c>
      <c r="B181" s="9">
        <v>45945</v>
      </c>
      <c r="C181" s="10">
        <v>24</v>
      </c>
      <c r="D181" s="7">
        <v>13.76</v>
      </c>
      <c r="E181" s="7" t="s">
        <v>18</v>
      </c>
      <c r="F181" s="7">
        <v>0</v>
      </c>
      <c r="G181" s="7">
        <v>1.53</v>
      </c>
    </row>
    <row r="182" s="7" customFormat="1" ht="15.3" spans="1:7">
      <c r="A182" s="7" t="s">
        <v>29</v>
      </c>
      <c r="B182" s="9">
        <v>45946</v>
      </c>
      <c r="C182" s="10">
        <v>2</v>
      </c>
      <c r="D182" s="7">
        <v>13.86</v>
      </c>
      <c r="E182" s="7" t="s">
        <v>18</v>
      </c>
      <c r="F182" s="7">
        <v>0</v>
      </c>
      <c r="G182" s="7">
        <v>2.19</v>
      </c>
    </row>
    <row r="183" s="7" customFormat="1" ht="15.3" spans="1:7">
      <c r="A183" s="7" t="s">
        <v>29</v>
      </c>
      <c r="B183" s="9">
        <v>45946</v>
      </c>
      <c r="C183" s="10">
        <v>4</v>
      </c>
      <c r="D183" s="7">
        <v>14.11</v>
      </c>
      <c r="E183" s="7" t="s">
        <v>18</v>
      </c>
      <c r="F183" s="7">
        <v>0</v>
      </c>
      <c r="G183" s="7">
        <v>1.94</v>
      </c>
    </row>
    <row r="184" s="7" customFormat="1" ht="15.3" spans="1:7">
      <c r="A184" s="7" t="s">
        <v>29</v>
      </c>
      <c r="B184" s="9">
        <v>45946</v>
      </c>
      <c r="C184" s="10">
        <v>6</v>
      </c>
      <c r="D184" s="7">
        <v>13.86</v>
      </c>
      <c r="E184" s="7" t="s">
        <v>18</v>
      </c>
      <c r="F184" s="7">
        <v>0</v>
      </c>
      <c r="G184" s="7">
        <v>2.05</v>
      </c>
    </row>
    <row r="185" s="7" customFormat="1" ht="15.3" spans="1:7">
      <c r="A185" s="7" t="s">
        <v>29</v>
      </c>
      <c r="B185" s="9">
        <v>45946</v>
      </c>
      <c r="C185" s="10">
        <v>8</v>
      </c>
      <c r="D185" s="7">
        <v>14.71</v>
      </c>
      <c r="E185" s="7" t="s">
        <v>18</v>
      </c>
      <c r="F185" s="7">
        <v>0</v>
      </c>
      <c r="G185" s="7">
        <v>3.46</v>
      </c>
    </row>
    <row r="186" s="7" customFormat="1" ht="15.3" spans="1:7">
      <c r="A186" s="7" t="s">
        <v>29</v>
      </c>
      <c r="B186" s="9">
        <v>45946</v>
      </c>
      <c r="C186" s="10">
        <v>10</v>
      </c>
      <c r="D186" s="7">
        <v>17.01</v>
      </c>
      <c r="E186" s="7" t="s">
        <v>16</v>
      </c>
      <c r="F186" s="7">
        <v>0</v>
      </c>
      <c r="G186" s="7">
        <v>5.33</v>
      </c>
    </row>
    <row r="187" s="7" customFormat="1" ht="15.3" spans="1:7">
      <c r="A187" s="7" t="s">
        <v>29</v>
      </c>
      <c r="B187" s="9">
        <v>45946</v>
      </c>
      <c r="C187" s="10">
        <v>12</v>
      </c>
      <c r="D187" s="7">
        <v>17.96</v>
      </c>
      <c r="E187" s="7" t="s">
        <v>18</v>
      </c>
      <c r="F187" s="7">
        <v>0</v>
      </c>
      <c r="G187" s="7">
        <v>5.11</v>
      </c>
    </row>
    <row r="188" s="7" customFormat="1" ht="15.3" spans="1:7">
      <c r="A188" s="7" t="s">
        <v>29</v>
      </c>
      <c r="B188" s="9">
        <v>45946</v>
      </c>
      <c r="C188" s="10">
        <v>14</v>
      </c>
      <c r="D188" s="7">
        <v>18.46</v>
      </c>
      <c r="E188" s="7" t="s">
        <v>19</v>
      </c>
      <c r="F188" s="7">
        <v>0</v>
      </c>
      <c r="G188" s="7">
        <v>4.79</v>
      </c>
    </row>
    <row r="189" s="7" customFormat="1" ht="15.3" spans="1:7">
      <c r="A189" s="7" t="s">
        <v>29</v>
      </c>
      <c r="B189" s="9">
        <v>45946</v>
      </c>
      <c r="C189" s="10">
        <v>16</v>
      </c>
      <c r="D189" s="7">
        <v>17.81</v>
      </c>
      <c r="E189" s="7" t="s">
        <v>18</v>
      </c>
      <c r="F189" s="7">
        <v>0</v>
      </c>
      <c r="G189" s="7">
        <v>3.78</v>
      </c>
    </row>
    <row r="190" s="7" customFormat="1" ht="15.3" spans="1:7">
      <c r="A190" s="7" t="s">
        <v>29</v>
      </c>
      <c r="B190" s="9">
        <v>45946</v>
      </c>
      <c r="C190" s="10">
        <v>18</v>
      </c>
      <c r="D190" s="7">
        <v>16.51</v>
      </c>
      <c r="E190" s="7" t="s">
        <v>18</v>
      </c>
      <c r="F190" s="7">
        <v>0</v>
      </c>
      <c r="G190" s="7">
        <v>2.82</v>
      </c>
    </row>
    <row r="191" s="7" customFormat="1" ht="15.3" spans="1:7">
      <c r="A191" s="7" t="s">
        <v>29</v>
      </c>
      <c r="B191" s="9">
        <v>45946</v>
      </c>
      <c r="C191" s="10">
        <v>20</v>
      </c>
      <c r="D191" s="7">
        <v>14.41</v>
      </c>
      <c r="E191" s="7" t="s">
        <v>16</v>
      </c>
      <c r="F191" s="7">
        <v>0</v>
      </c>
      <c r="G191" s="7">
        <v>2.55</v>
      </c>
    </row>
    <row r="192" s="7" customFormat="1" ht="15.3" spans="1:7">
      <c r="A192" s="7" t="s">
        <v>29</v>
      </c>
      <c r="B192" s="9">
        <v>45946</v>
      </c>
      <c r="C192" s="10">
        <v>22</v>
      </c>
      <c r="D192" s="7">
        <v>14.46</v>
      </c>
      <c r="E192" s="7" t="s">
        <v>16</v>
      </c>
      <c r="F192" s="7">
        <v>0</v>
      </c>
      <c r="G192" s="7">
        <v>3.52</v>
      </c>
    </row>
    <row r="193" s="7" customFormat="1" ht="15.3" spans="1:7">
      <c r="A193" s="7" t="s">
        <v>29</v>
      </c>
      <c r="B193" s="9">
        <v>45946</v>
      </c>
      <c r="C193" s="10">
        <v>24</v>
      </c>
      <c r="D193" s="7">
        <v>13.91</v>
      </c>
      <c r="E193" s="7" t="s">
        <v>16</v>
      </c>
      <c r="F193" s="7">
        <v>0</v>
      </c>
      <c r="G193" s="7">
        <v>2.39</v>
      </c>
    </row>
    <row r="194" s="7" customFormat="1" ht="15.3" spans="1:7">
      <c r="A194" s="7" t="s">
        <v>29</v>
      </c>
      <c r="B194" s="9">
        <v>45947</v>
      </c>
      <c r="C194" s="10">
        <v>2</v>
      </c>
      <c r="D194" s="7">
        <v>13.31</v>
      </c>
      <c r="E194" s="7" t="s">
        <v>16</v>
      </c>
      <c r="F194" s="7">
        <v>0</v>
      </c>
      <c r="G194" s="7">
        <v>2.1</v>
      </c>
    </row>
    <row r="195" s="7" customFormat="1" ht="15.3" spans="1:7">
      <c r="A195" s="7" t="s">
        <v>29</v>
      </c>
      <c r="B195" s="9">
        <v>45947</v>
      </c>
      <c r="C195" s="10">
        <v>4</v>
      </c>
      <c r="D195" s="7">
        <v>13.11</v>
      </c>
      <c r="E195" s="7" t="s">
        <v>16</v>
      </c>
      <c r="F195" s="7">
        <v>0</v>
      </c>
      <c r="G195" s="7">
        <v>2.34</v>
      </c>
    </row>
    <row r="196" s="7" customFormat="1" ht="15.3" spans="1:7">
      <c r="A196" s="7" t="s">
        <v>29</v>
      </c>
      <c r="B196" s="9">
        <v>45947</v>
      </c>
      <c r="C196" s="10">
        <v>6</v>
      </c>
      <c r="D196" s="7">
        <v>13.56</v>
      </c>
      <c r="E196" s="7" t="s">
        <v>16</v>
      </c>
      <c r="F196" s="7">
        <v>0</v>
      </c>
      <c r="G196" s="7">
        <v>1.9</v>
      </c>
    </row>
    <row r="197" s="7" customFormat="1" ht="15.3" spans="1:7">
      <c r="A197" s="7" t="s">
        <v>29</v>
      </c>
      <c r="B197" s="9">
        <v>45947</v>
      </c>
      <c r="C197" s="10">
        <v>8</v>
      </c>
      <c r="D197" s="7">
        <v>13.76</v>
      </c>
      <c r="E197" s="7" t="s">
        <v>17</v>
      </c>
      <c r="F197" s="7">
        <v>0.5</v>
      </c>
      <c r="G197" s="7">
        <v>2.09</v>
      </c>
    </row>
    <row r="198" s="7" customFormat="1" ht="15.3" spans="1:7">
      <c r="A198" s="7" t="s">
        <v>29</v>
      </c>
      <c r="B198" s="9">
        <v>45947</v>
      </c>
      <c r="C198" s="10">
        <v>10</v>
      </c>
      <c r="D198" s="7">
        <v>14.81</v>
      </c>
      <c r="E198" s="7" t="s">
        <v>16</v>
      </c>
      <c r="F198" s="7">
        <v>0.2</v>
      </c>
      <c r="G198" s="7">
        <v>1.95</v>
      </c>
    </row>
    <row r="199" s="7" customFormat="1" ht="15.3" spans="1:7">
      <c r="A199" s="7" t="s">
        <v>29</v>
      </c>
      <c r="B199" s="9">
        <v>45947</v>
      </c>
      <c r="C199" s="10">
        <v>12</v>
      </c>
      <c r="D199" s="7">
        <v>15.51</v>
      </c>
      <c r="E199" s="7" t="s">
        <v>17</v>
      </c>
      <c r="F199" s="7">
        <v>0.6</v>
      </c>
      <c r="G199" s="7">
        <v>1.96</v>
      </c>
    </row>
    <row r="200" s="7" customFormat="1" ht="15.3" spans="1:7">
      <c r="A200" s="7" t="s">
        <v>29</v>
      </c>
      <c r="B200" s="9">
        <v>45947</v>
      </c>
      <c r="C200" s="10">
        <v>14</v>
      </c>
      <c r="D200" s="7">
        <v>15.46</v>
      </c>
      <c r="E200" s="7" t="s">
        <v>17</v>
      </c>
      <c r="F200" s="7">
        <v>1.2</v>
      </c>
      <c r="G200" s="7">
        <v>3.52</v>
      </c>
    </row>
    <row r="201" s="7" customFormat="1" ht="15.3" spans="1:7">
      <c r="A201" s="7" t="s">
        <v>29</v>
      </c>
      <c r="B201" s="9">
        <v>45947</v>
      </c>
      <c r="C201" s="10">
        <v>16</v>
      </c>
      <c r="D201" s="7">
        <v>14.06</v>
      </c>
      <c r="E201" s="7" t="s">
        <v>20</v>
      </c>
      <c r="F201" s="7">
        <v>2.2</v>
      </c>
      <c r="G201" s="7">
        <v>5.3</v>
      </c>
    </row>
    <row r="202" s="7" customFormat="1" ht="15.3" spans="1:7">
      <c r="A202" s="7" t="s">
        <v>29</v>
      </c>
      <c r="B202" s="9">
        <v>45947</v>
      </c>
      <c r="C202" s="10">
        <v>18</v>
      </c>
      <c r="D202" s="7">
        <v>13.06</v>
      </c>
      <c r="E202" s="7" t="s">
        <v>20</v>
      </c>
      <c r="F202" s="7">
        <v>1.3</v>
      </c>
      <c r="G202" s="7">
        <v>4.86</v>
      </c>
    </row>
    <row r="203" s="7" customFormat="1" ht="15.3" spans="1:7">
      <c r="A203" s="7" t="s">
        <v>29</v>
      </c>
      <c r="B203" s="9">
        <v>45947</v>
      </c>
      <c r="C203" s="10">
        <v>20</v>
      </c>
      <c r="D203" s="7">
        <v>13.11</v>
      </c>
      <c r="E203" s="7" t="s">
        <v>16</v>
      </c>
      <c r="F203" s="7">
        <v>0.3</v>
      </c>
      <c r="G203" s="7">
        <v>4.8</v>
      </c>
    </row>
    <row r="204" s="7" customFormat="1" ht="15.3" spans="1:7">
      <c r="A204" s="7" t="s">
        <v>29</v>
      </c>
      <c r="B204" s="9">
        <v>45947</v>
      </c>
      <c r="C204" s="10">
        <v>22</v>
      </c>
      <c r="D204" s="7">
        <v>13.41</v>
      </c>
      <c r="E204" s="7" t="s">
        <v>18</v>
      </c>
      <c r="F204" s="7">
        <v>0</v>
      </c>
      <c r="G204" s="7">
        <v>4.3</v>
      </c>
    </row>
    <row r="205" s="7" customFormat="1" ht="15.3" spans="1:7">
      <c r="A205" s="7" t="s">
        <v>29</v>
      </c>
      <c r="B205" s="9">
        <v>45947</v>
      </c>
      <c r="C205" s="10">
        <v>24</v>
      </c>
      <c r="D205" s="7">
        <v>13.51</v>
      </c>
      <c r="E205" s="7" t="s">
        <v>18</v>
      </c>
      <c r="F205" s="7">
        <v>0</v>
      </c>
      <c r="G205" s="7">
        <v>4.65</v>
      </c>
    </row>
    <row r="206" s="7" customFormat="1" ht="15.3" spans="1:7">
      <c r="A206" s="7" t="s">
        <v>29</v>
      </c>
      <c r="B206" s="9">
        <v>45948</v>
      </c>
      <c r="C206" s="10">
        <v>2</v>
      </c>
      <c r="D206" s="7">
        <v>12.81</v>
      </c>
      <c r="E206" s="7" t="s">
        <v>18</v>
      </c>
      <c r="F206" s="7">
        <v>0</v>
      </c>
      <c r="G206" s="7">
        <v>5.55</v>
      </c>
    </row>
    <row r="207" s="7" customFormat="1" ht="15.3" spans="1:7">
      <c r="A207" s="7" t="s">
        <v>29</v>
      </c>
      <c r="B207" s="9">
        <v>45948</v>
      </c>
      <c r="C207" s="10">
        <v>4</v>
      </c>
      <c r="D207" s="7">
        <v>11.66</v>
      </c>
      <c r="E207" s="7" t="s">
        <v>19</v>
      </c>
      <c r="F207" s="7">
        <v>0</v>
      </c>
      <c r="G207" s="7">
        <v>5.73</v>
      </c>
    </row>
    <row r="208" s="7" customFormat="1" ht="15.3" spans="1:7">
      <c r="A208" s="7" t="s">
        <v>29</v>
      </c>
      <c r="B208" s="9">
        <v>45948</v>
      </c>
      <c r="C208" s="10">
        <v>6</v>
      </c>
      <c r="D208" s="7">
        <v>10.01</v>
      </c>
      <c r="E208" s="7" t="s">
        <v>16</v>
      </c>
      <c r="F208" s="7">
        <v>0</v>
      </c>
      <c r="G208" s="7">
        <v>4.74</v>
      </c>
    </row>
    <row r="209" s="7" customFormat="1" ht="15.3" spans="1:7">
      <c r="A209" s="7" t="s">
        <v>29</v>
      </c>
      <c r="B209" s="9">
        <v>45948</v>
      </c>
      <c r="C209" s="10">
        <v>8</v>
      </c>
      <c r="D209" s="7">
        <v>9.56</v>
      </c>
      <c r="E209" s="7" t="s">
        <v>16</v>
      </c>
      <c r="F209" s="7">
        <v>0</v>
      </c>
      <c r="G209" s="7">
        <v>4.23</v>
      </c>
    </row>
    <row r="210" s="7" customFormat="1" ht="15.3" spans="1:7">
      <c r="A210" s="7" t="s">
        <v>29</v>
      </c>
      <c r="B210" s="9">
        <v>45948</v>
      </c>
      <c r="C210" s="10">
        <v>10</v>
      </c>
      <c r="D210" s="7">
        <v>10.61</v>
      </c>
      <c r="E210" s="7" t="s">
        <v>18</v>
      </c>
      <c r="F210" s="7">
        <v>0</v>
      </c>
      <c r="G210" s="7">
        <v>5.3</v>
      </c>
    </row>
    <row r="211" s="7" customFormat="1" ht="15.3" spans="1:7">
      <c r="A211" s="7" t="s">
        <v>29</v>
      </c>
      <c r="B211" s="9">
        <v>45948</v>
      </c>
      <c r="C211" s="10">
        <v>12</v>
      </c>
      <c r="D211" s="7">
        <v>11.71</v>
      </c>
      <c r="E211" s="7" t="s">
        <v>19</v>
      </c>
      <c r="F211" s="7">
        <v>0</v>
      </c>
      <c r="G211" s="7">
        <v>5.24</v>
      </c>
    </row>
    <row r="212" s="7" customFormat="1" ht="15.3" spans="1:7">
      <c r="A212" s="7" t="s">
        <v>29</v>
      </c>
      <c r="B212" s="9">
        <v>45948</v>
      </c>
      <c r="C212" s="10">
        <v>14</v>
      </c>
      <c r="D212" s="7">
        <v>12.36</v>
      </c>
      <c r="E212" s="7" t="s">
        <v>19</v>
      </c>
      <c r="F212" s="7">
        <v>0</v>
      </c>
      <c r="G212" s="7">
        <v>4.41</v>
      </c>
    </row>
    <row r="213" s="7" customFormat="1" ht="15.3" spans="1:7">
      <c r="A213" s="7" t="s">
        <v>29</v>
      </c>
      <c r="B213" s="9">
        <v>45948</v>
      </c>
      <c r="C213" s="10">
        <v>16</v>
      </c>
      <c r="D213" s="7">
        <v>12.01</v>
      </c>
      <c r="E213" s="7" t="s">
        <v>16</v>
      </c>
      <c r="F213" s="7">
        <v>0</v>
      </c>
      <c r="G213" s="7">
        <v>4</v>
      </c>
    </row>
    <row r="214" s="7" customFormat="1" ht="15.3" spans="1:7">
      <c r="A214" s="7" t="s">
        <v>29</v>
      </c>
      <c r="B214" s="9">
        <v>45948</v>
      </c>
      <c r="C214" s="10">
        <v>18</v>
      </c>
      <c r="D214" s="7">
        <v>10.51</v>
      </c>
      <c r="E214" s="7" t="s">
        <v>16</v>
      </c>
      <c r="F214" s="7">
        <v>0</v>
      </c>
      <c r="G214" s="7">
        <v>2.38</v>
      </c>
    </row>
    <row r="215" s="7" customFormat="1" ht="15.3" spans="1:7">
      <c r="A215" s="7" t="s">
        <v>29</v>
      </c>
      <c r="B215" s="9">
        <v>45948</v>
      </c>
      <c r="C215" s="10">
        <v>20</v>
      </c>
      <c r="D215" s="7">
        <v>8.76</v>
      </c>
      <c r="E215" s="7" t="s">
        <v>16</v>
      </c>
      <c r="F215" s="7">
        <v>0</v>
      </c>
      <c r="G215" s="7">
        <v>1.72</v>
      </c>
    </row>
    <row r="216" s="7" customFormat="1" ht="15.3" spans="1:7">
      <c r="A216" s="7" t="s">
        <v>29</v>
      </c>
      <c r="B216" s="9">
        <v>45948</v>
      </c>
      <c r="C216" s="10">
        <v>22</v>
      </c>
      <c r="D216" s="7">
        <v>7.96</v>
      </c>
      <c r="E216" s="7" t="s">
        <v>16</v>
      </c>
      <c r="F216" s="7">
        <v>0</v>
      </c>
      <c r="G216" s="7">
        <v>1.38</v>
      </c>
    </row>
    <row r="217" s="7" customFormat="1" ht="15.3" spans="1:7">
      <c r="A217" s="7" t="s">
        <v>29</v>
      </c>
      <c r="B217" s="9">
        <v>45948</v>
      </c>
      <c r="C217" s="10">
        <v>24</v>
      </c>
      <c r="D217" s="7">
        <v>7.71</v>
      </c>
      <c r="E217" s="7" t="s">
        <v>16</v>
      </c>
      <c r="F217" s="7">
        <v>0</v>
      </c>
      <c r="G217" s="7">
        <v>1.25</v>
      </c>
    </row>
    <row r="218" s="7" customFormat="1" ht="15.3" spans="1:7">
      <c r="A218" s="7" t="s">
        <v>29</v>
      </c>
      <c r="B218" s="9">
        <v>45949</v>
      </c>
      <c r="C218" s="10">
        <v>2</v>
      </c>
      <c r="D218" s="7">
        <v>7.91</v>
      </c>
      <c r="E218" s="7" t="s">
        <v>16</v>
      </c>
      <c r="F218" s="7">
        <v>0</v>
      </c>
      <c r="G218" s="7">
        <v>1.21</v>
      </c>
    </row>
    <row r="219" s="7" customFormat="1" ht="15.3" spans="1:7">
      <c r="A219" s="7" t="s">
        <v>29</v>
      </c>
      <c r="B219" s="9">
        <v>45949</v>
      </c>
      <c r="C219" s="10">
        <v>4</v>
      </c>
      <c r="D219" s="7">
        <v>8.01</v>
      </c>
      <c r="E219" s="7" t="s">
        <v>16</v>
      </c>
      <c r="F219" s="7">
        <v>0</v>
      </c>
      <c r="G219" s="7">
        <v>2.33</v>
      </c>
    </row>
    <row r="220" s="7" customFormat="1" ht="15.3" spans="1:7">
      <c r="A220" s="7" t="s">
        <v>29</v>
      </c>
      <c r="B220" s="9">
        <v>45949</v>
      </c>
      <c r="C220" s="10">
        <v>6</v>
      </c>
      <c r="D220" s="7">
        <v>8.61</v>
      </c>
      <c r="E220" s="7" t="s">
        <v>16</v>
      </c>
      <c r="F220" s="7">
        <v>0</v>
      </c>
      <c r="G220" s="7">
        <v>2.35</v>
      </c>
    </row>
    <row r="221" s="7" customFormat="1" ht="15.3" spans="1:7">
      <c r="A221" s="7" t="s">
        <v>29</v>
      </c>
      <c r="B221" s="9">
        <v>45949</v>
      </c>
      <c r="C221" s="10">
        <v>8</v>
      </c>
      <c r="D221" s="7">
        <v>9.56</v>
      </c>
      <c r="E221" s="7" t="s">
        <v>16</v>
      </c>
      <c r="F221" s="7">
        <v>0</v>
      </c>
      <c r="G221" s="7">
        <v>2.56</v>
      </c>
    </row>
    <row r="222" s="7" customFormat="1" ht="15.3" spans="1:7">
      <c r="A222" s="7" t="s">
        <v>29</v>
      </c>
      <c r="B222" s="9">
        <v>45949</v>
      </c>
      <c r="C222" s="10">
        <v>10</v>
      </c>
      <c r="D222" s="7">
        <v>10.16</v>
      </c>
      <c r="E222" s="7" t="s">
        <v>16</v>
      </c>
      <c r="F222" s="7">
        <v>0</v>
      </c>
      <c r="G222" s="7">
        <v>3.15</v>
      </c>
    </row>
    <row r="223" s="7" customFormat="1" ht="15.3" spans="1:7">
      <c r="A223" s="7" t="s">
        <v>29</v>
      </c>
      <c r="B223" s="9">
        <v>45949</v>
      </c>
      <c r="C223" s="10">
        <v>12</v>
      </c>
      <c r="D223" s="7">
        <v>11.51</v>
      </c>
      <c r="E223" s="7" t="s">
        <v>18</v>
      </c>
      <c r="F223" s="7">
        <v>0</v>
      </c>
      <c r="G223" s="7">
        <v>4.94</v>
      </c>
    </row>
    <row r="224" s="7" customFormat="1" ht="15.3" spans="1:7">
      <c r="A224" s="7" t="s">
        <v>29</v>
      </c>
      <c r="B224" s="9">
        <v>45949</v>
      </c>
      <c r="C224" s="10">
        <v>14</v>
      </c>
      <c r="D224" s="7">
        <v>12.36</v>
      </c>
      <c r="E224" s="7" t="s">
        <v>18</v>
      </c>
      <c r="F224" s="7">
        <v>0</v>
      </c>
      <c r="G224" s="7">
        <v>5.25</v>
      </c>
    </row>
    <row r="225" s="7" customFormat="1" ht="15.3" spans="1:7">
      <c r="A225" s="7" t="s">
        <v>29</v>
      </c>
      <c r="B225" s="9">
        <v>45949</v>
      </c>
      <c r="C225" s="10">
        <v>16</v>
      </c>
      <c r="D225" s="7">
        <v>11.71</v>
      </c>
      <c r="E225" s="7" t="s">
        <v>18</v>
      </c>
      <c r="F225" s="7">
        <v>0</v>
      </c>
      <c r="G225" s="7">
        <v>4.56</v>
      </c>
    </row>
    <row r="226" s="7" customFormat="1" ht="15.3" spans="1:7">
      <c r="A226" s="7" t="s">
        <v>29</v>
      </c>
      <c r="B226" s="9">
        <v>45949</v>
      </c>
      <c r="C226" s="10">
        <v>18</v>
      </c>
      <c r="D226" s="7">
        <v>9.96</v>
      </c>
      <c r="E226" s="7" t="s">
        <v>16</v>
      </c>
      <c r="F226" s="7">
        <v>0</v>
      </c>
      <c r="G226" s="7">
        <v>3.31</v>
      </c>
    </row>
    <row r="227" s="7" customFormat="1" ht="15.3" spans="1:7">
      <c r="A227" s="7" t="s">
        <v>29</v>
      </c>
      <c r="B227" s="9">
        <v>45949</v>
      </c>
      <c r="C227" s="10">
        <v>20</v>
      </c>
      <c r="D227" s="7">
        <v>7.51</v>
      </c>
      <c r="E227" s="7" t="s">
        <v>16</v>
      </c>
      <c r="F227" s="7">
        <v>0</v>
      </c>
      <c r="G227" s="7">
        <v>2.89</v>
      </c>
    </row>
    <row r="228" s="7" customFormat="1" ht="15.3" spans="1:7">
      <c r="A228" s="7" t="s">
        <v>29</v>
      </c>
      <c r="B228" s="9">
        <v>45949</v>
      </c>
      <c r="C228" s="10">
        <v>22</v>
      </c>
      <c r="D228" s="7">
        <v>7.31</v>
      </c>
      <c r="E228" s="7" t="s">
        <v>16</v>
      </c>
      <c r="F228" s="7">
        <v>0</v>
      </c>
      <c r="G228" s="7">
        <v>3.05</v>
      </c>
    </row>
    <row r="229" s="7" customFormat="1" ht="15.3" spans="1:7">
      <c r="A229" s="7" t="s">
        <v>29</v>
      </c>
      <c r="B229" s="9">
        <v>45949</v>
      </c>
      <c r="C229" s="10">
        <v>24</v>
      </c>
      <c r="D229" s="7">
        <v>6.26</v>
      </c>
      <c r="E229" s="7" t="s">
        <v>19</v>
      </c>
      <c r="F229" s="7">
        <v>0</v>
      </c>
      <c r="G229" s="7">
        <v>2.03</v>
      </c>
    </row>
    <row r="230" s="7" customFormat="1" ht="15.3" spans="1:7">
      <c r="A230" s="7" t="s">
        <v>29</v>
      </c>
      <c r="B230" s="9">
        <v>45950</v>
      </c>
      <c r="C230" s="10">
        <v>2</v>
      </c>
      <c r="D230" s="7">
        <v>5.71</v>
      </c>
      <c r="E230" s="7" t="s">
        <v>16</v>
      </c>
      <c r="F230" s="7">
        <v>0</v>
      </c>
      <c r="G230" s="7">
        <v>2.33</v>
      </c>
    </row>
    <row r="231" s="7" customFormat="1" ht="15.3" spans="1:7">
      <c r="A231" s="7" t="s">
        <v>29</v>
      </c>
      <c r="B231" s="9">
        <v>45950</v>
      </c>
      <c r="C231" s="10">
        <v>4</v>
      </c>
      <c r="D231" s="7">
        <v>5.01</v>
      </c>
      <c r="E231" s="7" t="s">
        <v>16</v>
      </c>
      <c r="F231" s="7">
        <v>0</v>
      </c>
      <c r="G231" s="7">
        <v>2.36</v>
      </c>
    </row>
    <row r="232" s="7" customFormat="1" ht="15.3" spans="1:7">
      <c r="A232" s="7" t="s">
        <v>29</v>
      </c>
      <c r="B232" s="9">
        <v>45950</v>
      </c>
      <c r="C232" s="10">
        <v>6</v>
      </c>
      <c r="D232" s="7">
        <v>4.81</v>
      </c>
      <c r="E232" s="7" t="s">
        <v>16</v>
      </c>
      <c r="F232" s="7">
        <v>0</v>
      </c>
      <c r="G232" s="7">
        <v>3.33</v>
      </c>
    </row>
    <row r="233" s="7" customFormat="1" ht="15.3" spans="1:7">
      <c r="A233" s="7" t="s">
        <v>29</v>
      </c>
      <c r="B233" s="9">
        <v>45950</v>
      </c>
      <c r="C233" s="10">
        <v>8</v>
      </c>
      <c r="D233" s="7">
        <v>5.86</v>
      </c>
      <c r="E233" s="7" t="s">
        <v>16</v>
      </c>
      <c r="F233" s="7">
        <v>0</v>
      </c>
      <c r="G233" s="7">
        <v>3.4</v>
      </c>
    </row>
    <row r="234" s="7" customFormat="1" ht="15.3" spans="1:7">
      <c r="A234" s="7" t="s">
        <v>29</v>
      </c>
      <c r="B234" s="9">
        <v>45950</v>
      </c>
      <c r="C234" s="10">
        <v>10</v>
      </c>
      <c r="D234" s="7">
        <v>9.01</v>
      </c>
      <c r="E234" s="7" t="s">
        <v>16</v>
      </c>
      <c r="F234" s="7">
        <v>0</v>
      </c>
      <c r="G234" s="7">
        <v>2.85</v>
      </c>
    </row>
    <row r="235" s="7" customFormat="1" ht="15.3" spans="1:7">
      <c r="A235" s="7" t="s">
        <v>29</v>
      </c>
      <c r="B235" s="9">
        <v>45950</v>
      </c>
      <c r="C235" s="10">
        <v>12</v>
      </c>
      <c r="D235" s="7">
        <v>11.36</v>
      </c>
      <c r="E235" s="7" t="s">
        <v>19</v>
      </c>
      <c r="F235" s="7">
        <v>0</v>
      </c>
      <c r="G235" s="7">
        <v>2.64</v>
      </c>
    </row>
    <row r="236" s="7" customFormat="1" ht="15.3" spans="1:7">
      <c r="A236" s="7" t="s">
        <v>29</v>
      </c>
      <c r="B236" s="9">
        <v>45950</v>
      </c>
      <c r="C236" s="10">
        <v>14</v>
      </c>
      <c r="D236" s="7">
        <v>11.71</v>
      </c>
      <c r="E236" s="7" t="s">
        <v>18</v>
      </c>
      <c r="F236" s="7">
        <v>0</v>
      </c>
      <c r="G236" s="7">
        <v>3</v>
      </c>
    </row>
    <row r="237" s="7" customFormat="1" ht="15.3" spans="1:7">
      <c r="A237" s="7" t="s">
        <v>29</v>
      </c>
      <c r="B237" s="9">
        <v>45950</v>
      </c>
      <c r="C237" s="10">
        <v>16</v>
      </c>
      <c r="D237" s="7">
        <v>11.31</v>
      </c>
      <c r="E237" s="7" t="s">
        <v>18</v>
      </c>
      <c r="F237" s="7">
        <v>0</v>
      </c>
      <c r="G237" s="7">
        <v>2.69</v>
      </c>
    </row>
    <row r="238" s="7" customFormat="1" ht="15.3" spans="1:7">
      <c r="A238" s="7" t="s">
        <v>29</v>
      </c>
      <c r="B238" s="9">
        <v>45950</v>
      </c>
      <c r="C238" s="10">
        <v>18</v>
      </c>
      <c r="D238" s="7">
        <v>10.46</v>
      </c>
      <c r="E238" s="7" t="s">
        <v>16</v>
      </c>
      <c r="F238" s="7">
        <v>0</v>
      </c>
      <c r="G238" s="7">
        <v>1.49</v>
      </c>
    </row>
    <row r="239" s="7" customFormat="1" ht="15.3" spans="1:7">
      <c r="A239" s="7" t="s">
        <v>29</v>
      </c>
      <c r="B239" s="9">
        <v>45950</v>
      </c>
      <c r="C239" s="10">
        <v>20</v>
      </c>
      <c r="D239" s="7">
        <v>8.21</v>
      </c>
      <c r="E239" s="7" t="s">
        <v>16</v>
      </c>
      <c r="F239" s="7">
        <v>0</v>
      </c>
      <c r="G239" s="7">
        <v>2.77</v>
      </c>
    </row>
    <row r="240" s="7" customFormat="1" ht="15.3" spans="1:7">
      <c r="A240" s="7" t="s">
        <v>29</v>
      </c>
      <c r="B240" s="9">
        <v>45950</v>
      </c>
      <c r="C240" s="10">
        <v>22</v>
      </c>
      <c r="D240" s="7">
        <v>6.71</v>
      </c>
      <c r="E240" s="7" t="s">
        <v>16</v>
      </c>
      <c r="F240" s="7">
        <v>0</v>
      </c>
      <c r="G240" s="7">
        <v>2.03</v>
      </c>
    </row>
    <row r="241" s="7" customFormat="1" ht="15.3" spans="1:7">
      <c r="A241" s="7" t="s">
        <v>29</v>
      </c>
      <c r="B241" s="9">
        <v>45950</v>
      </c>
      <c r="C241" s="10">
        <v>24</v>
      </c>
      <c r="D241" s="7">
        <v>6.01</v>
      </c>
      <c r="E241" s="7" t="s">
        <v>16</v>
      </c>
      <c r="F241" s="7">
        <v>0</v>
      </c>
      <c r="G241" s="7">
        <v>1.9</v>
      </c>
    </row>
    <row r="242" s="7" customFormat="1" ht="15.3" spans="1:7">
      <c r="A242" s="7" t="s">
        <v>29</v>
      </c>
      <c r="B242" s="9">
        <v>45951</v>
      </c>
      <c r="C242" s="10">
        <v>2</v>
      </c>
      <c r="D242" s="7">
        <v>5.81</v>
      </c>
      <c r="E242" s="7" t="s">
        <v>16</v>
      </c>
      <c r="F242" s="7">
        <v>0</v>
      </c>
      <c r="G242" s="7">
        <v>1.5</v>
      </c>
    </row>
    <row r="243" s="7" customFormat="1" ht="15.3" spans="1:7">
      <c r="A243" s="7" t="s">
        <v>29</v>
      </c>
      <c r="B243" s="9">
        <v>45951</v>
      </c>
      <c r="C243" s="10">
        <v>4</v>
      </c>
      <c r="D243" s="7">
        <v>4.56</v>
      </c>
      <c r="E243" s="7" t="s">
        <v>16</v>
      </c>
      <c r="F243" s="7">
        <v>0</v>
      </c>
      <c r="G243" s="7">
        <v>2.24</v>
      </c>
    </row>
    <row r="244" s="7" customFormat="1" ht="15.3" spans="1:7">
      <c r="A244" s="7" t="s">
        <v>29</v>
      </c>
      <c r="B244" s="9">
        <v>45951</v>
      </c>
      <c r="C244" s="10">
        <v>6</v>
      </c>
      <c r="D244" s="7">
        <v>3.86</v>
      </c>
      <c r="E244" s="7" t="s">
        <v>16</v>
      </c>
      <c r="F244" s="7">
        <v>0</v>
      </c>
      <c r="G244" s="7">
        <v>2.13</v>
      </c>
    </row>
    <row r="245" s="7" customFormat="1" ht="15.3" spans="1:7">
      <c r="A245" s="7" t="s">
        <v>29</v>
      </c>
      <c r="B245" s="9">
        <v>45951</v>
      </c>
      <c r="C245" s="10">
        <v>8</v>
      </c>
      <c r="D245" s="7">
        <v>4.06</v>
      </c>
      <c r="E245" s="7" t="s">
        <v>16</v>
      </c>
      <c r="F245" s="7">
        <v>0</v>
      </c>
      <c r="G245" s="7">
        <v>2.42</v>
      </c>
    </row>
    <row r="246" s="7" customFormat="1" ht="15.3" spans="1:7">
      <c r="A246" s="7" t="s">
        <v>29</v>
      </c>
      <c r="B246" s="9">
        <v>45951</v>
      </c>
      <c r="C246" s="10">
        <v>10</v>
      </c>
      <c r="D246" s="7">
        <v>8.31</v>
      </c>
      <c r="E246" s="7" t="s">
        <v>16</v>
      </c>
      <c r="F246" s="7">
        <v>0</v>
      </c>
      <c r="G246" s="7">
        <v>1.24</v>
      </c>
    </row>
    <row r="247" s="7" customFormat="1" ht="15.3" spans="1:7">
      <c r="A247" s="7" t="s">
        <v>29</v>
      </c>
      <c r="B247" s="9">
        <v>45951</v>
      </c>
      <c r="C247" s="10">
        <v>12</v>
      </c>
      <c r="D247" s="7">
        <v>12.01</v>
      </c>
      <c r="E247" s="7" t="s">
        <v>16</v>
      </c>
      <c r="F247" s="7">
        <v>0</v>
      </c>
      <c r="G247" s="7">
        <v>2.08</v>
      </c>
    </row>
    <row r="248" s="7" customFormat="1" ht="15.3" spans="1:7">
      <c r="A248" s="7" t="s">
        <v>29</v>
      </c>
      <c r="B248" s="9">
        <v>45951</v>
      </c>
      <c r="C248" s="10">
        <v>14</v>
      </c>
      <c r="D248" s="7">
        <v>13.06</v>
      </c>
      <c r="E248" s="7" t="s">
        <v>16</v>
      </c>
      <c r="F248" s="7">
        <v>0</v>
      </c>
      <c r="G248" s="7">
        <v>1.86</v>
      </c>
    </row>
    <row r="249" s="7" customFormat="1" ht="15.3" spans="1:7">
      <c r="A249" s="7" t="s">
        <v>29</v>
      </c>
      <c r="B249" s="9">
        <v>45951</v>
      </c>
      <c r="C249" s="10">
        <v>16</v>
      </c>
      <c r="D249" s="7">
        <v>13.06</v>
      </c>
      <c r="E249" s="7" t="s">
        <v>16</v>
      </c>
      <c r="F249" s="7">
        <v>0</v>
      </c>
      <c r="G249" s="7">
        <v>2.93</v>
      </c>
    </row>
    <row r="250" s="7" customFormat="1" ht="15.3" spans="1:7">
      <c r="A250" s="7" t="s">
        <v>29</v>
      </c>
      <c r="B250" s="9">
        <v>45951</v>
      </c>
      <c r="C250" s="10">
        <v>18</v>
      </c>
      <c r="D250" s="7">
        <v>10.46</v>
      </c>
      <c r="E250" s="7" t="s">
        <v>16</v>
      </c>
      <c r="F250" s="7">
        <v>0</v>
      </c>
      <c r="G250" s="7">
        <v>2.14</v>
      </c>
    </row>
    <row r="251" s="7" customFormat="1" ht="15.3" spans="1:7">
      <c r="A251" s="7" t="s">
        <v>29</v>
      </c>
      <c r="B251" s="9">
        <v>45951</v>
      </c>
      <c r="C251" s="10">
        <v>20</v>
      </c>
      <c r="D251" s="7">
        <v>8.01</v>
      </c>
      <c r="E251" s="7" t="s">
        <v>16</v>
      </c>
      <c r="F251" s="7">
        <v>0</v>
      </c>
      <c r="G251" s="7">
        <v>2.33</v>
      </c>
    </row>
    <row r="252" s="7" customFormat="1" ht="15.3" spans="1:7">
      <c r="A252" s="7" t="s">
        <v>29</v>
      </c>
      <c r="B252" s="9">
        <v>45951</v>
      </c>
      <c r="C252" s="10">
        <v>22</v>
      </c>
      <c r="D252" s="7">
        <v>6.41</v>
      </c>
      <c r="E252" s="7" t="s">
        <v>16</v>
      </c>
      <c r="F252" s="7">
        <v>0</v>
      </c>
      <c r="G252" s="7">
        <v>1.57</v>
      </c>
    </row>
    <row r="253" s="7" customFormat="1" ht="15.3" spans="1:7">
      <c r="A253" s="7" t="s">
        <v>29</v>
      </c>
      <c r="B253" s="9">
        <v>45951</v>
      </c>
      <c r="C253" s="10">
        <v>24</v>
      </c>
      <c r="D253" s="7">
        <v>5.61</v>
      </c>
      <c r="E253" s="7" t="s">
        <v>16</v>
      </c>
      <c r="F253" s="7">
        <v>0</v>
      </c>
      <c r="G253" s="7">
        <v>1.39</v>
      </c>
    </row>
    <row r="254" s="7" customFormat="1" ht="15.3" spans="1:7">
      <c r="A254" s="7" t="s">
        <v>29</v>
      </c>
      <c r="B254" s="9">
        <v>45952</v>
      </c>
      <c r="C254" s="10">
        <v>2</v>
      </c>
      <c r="D254" s="7">
        <v>5.36</v>
      </c>
      <c r="E254" s="7" t="s">
        <v>16</v>
      </c>
      <c r="F254" s="7">
        <v>0</v>
      </c>
      <c r="G254" s="7">
        <v>1.01</v>
      </c>
    </row>
    <row r="255" s="7" customFormat="1" ht="15.3" spans="1:7">
      <c r="A255" s="7" t="s">
        <v>29</v>
      </c>
      <c r="B255" s="9">
        <v>45952</v>
      </c>
      <c r="C255" s="10">
        <v>4</v>
      </c>
      <c r="D255" s="7">
        <v>4.91</v>
      </c>
      <c r="E255" s="7" t="s">
        <v>16</v>
      </c>
      <c r="F255" s="7">
        <v>0</v>
      </c>
      <c r="G255" s="7">
        <v>1.45</v>
      </c>
    </row>
    <row r="256" s="7" customFormat="1" ht="15.3" spans="1:7">
      <c r="A256" s="7" t="s">
        <v>29</v>
      </c>
      <c r="B256" s="9">
        <v>45952</v>
      </c>
      <c r="C256" s="10">
        <v>6</v>
      </c>
      <c r="D256" s="7">
        <v>4.51</v>
      </c>
      <c r="E256" s="7" t="s">
        <v>16</v>
      </c>
      <c r="F256" s="7">
        <v>0</v>
      </c>
      <c r="G256" s="7">
        <v>1.58</v>
      </c>
    </row>
    <row r="257" s="7" customFormat="1" ht="15.3" spans="1:7">
      <c r="A257" s="7" t="s">
        <v>29</v>
      </c>
      <c r="B257" s="9">
        <v>45952</v>
      </c>
      <c r="C257" s="10">
        <v>8</v>
      </c>
      <c r="D257" s="7">
        <v>4.71</v>
      </c>
      <c r="E257" s="7" t="s">
        <v>16</v>
      </c>
      <c r="F257" s="7">
        <v>0</v>
      </c>
      <c r="G257" s="7">
        <v>1.24</v>
      </c>
    </row>
    <row r="258" s="7" customFormat="1" ht="15.3" spans="1:7">
      <c r="A258" s="7" t="s">
        <v>29</v>
      </c>
      <c r="B258" s="9">
        <v>45952</v>
      </c>
      <c r="C258" s="10">
        <v>10</v>
      </c>
      <c r="D258" s="7">
        <v>10.41</v>
      </c>
      <c r="E258" s="7" t="s">
        <v>16</v>
      </c>
      <c r="F258" s="7">
        <v>0</v>
      </c>
      <c r="G258" s="7">
        <v>0.92</v>
      </c>
    </row>
    <row r="259" s="7" customFormat="1" ht="15.3" spans="1:7">
      <c r="A259" s="7" t="s">
        <v>29</v>
      </c>
      <c r="B259" s="9">
        <v>45952</v>
      </c>
      <c r="C259" s="10">
        <v>12</v>
      </c>
      <c r="D259" s="7">
        <v>13.06</v>
      </c>
      <c r="E259" s="7" t="s">
        <v>16</v>
      </c>
      <c r="F259" s="7">
        <v>0</v>
      </c>
      <c r="G259" s="7">
        <v>1.64</v>
      </c>
    </row>
    <row r="260" s="7" customFormat="1" ht="15.3" spans="1:7">
      <c r="A260" s="7" t="s">
        <v>29</v>
      </c>
      <c r="B260" s="9">
        <v>45952</v>
      </c>
      <c r="C260" s="10">
        <v>14</v>
      </c>
      <c r="D260" s="7">
        <v>13.96</v>
      </c>
      <c r="E260" s="7" t="s">
        <v>16</v>
      </c>
      <c r="F260" s="7">
        <v>0</v>
      </c>
      <c r="G260" s="7">
        <v>1.92</v>
      </c>
    </row>
    <row r="261" s="7" customFormat="1" ht="15.3" spans="1:7">
      <c r="A261" s="7" t="s">
        <v>29</v>
      </c>
      <c r="B261" s="9">
        <v>45952</v>
      </c>
      <c r="C261" s="10">
        <v>16</v>
      </c>
      <c r="D261" s="7">
        <v>14.01</v>
      </c>
      <c r="E261" s="7" t="s">
        <v>16</v>
      </c>
      <c r="F261" s="7">
        <v>0</v>
      </c>
      <c r="G261" s="7">
        <v>1.49</v>
      </c>
    </row>
    <row r="262" s="7" customFormat="1" ht="15.3" spans="1:7">
      <c r="A262" s="7" t="s">
        <v>29</v>
      </c>
      <c r="B262" s="9">
        <v>45952</v>
      </c>
      <c r="C262" s="10">
        <v>18</v>
      </c>
      <c r="D262" s="7">
        <v>12.61</v>
      </c>
      <c r="E262" s="7" t="s">
        <v>16</v>
      </c>
      <c r="F262" s="7">
        <v>0</v>
      </c>
      <c r="G262" s="7">
        <v>0.46</v>
      </c>
    </row>
    <row r="263" s="7" customFormat="1" ht="15.3" spans="1:7">
      <c r="A263" s="7" t="s">
        <v>29</v>
      </c>
      <c r="B263" s="9">
        <v>45952</v>
      </c>
      <c r="C263" s="10">
        <v>20</v>
      </c>
      <c r="D263" s="7">
        <v>10.51</v>
      </c>
      <c r="E263" s="7" t="s">
        <v>16</v>
      </c>
      <c r="F263" s="7">
        <v>0</v>
      </c>
      <c r="G263" s="7">
        <v>2.48</v>
      </c>
    </row>
    <row r="264" s="7" customFormat="1" ht="15.3" spans="1:7">
      <c r="A264" s="7" t="s">
        <v>29</v>
      </c>
      <c r="B264" s="9">
        <v>45952</v>
      </c>
      <c r="C264" s="10">
        <v>22</v>
      </c>
      <c r="D264" s="7">
        <v>9.91</v>
      </c>
      <c r="E264" s="7" t="s">
        <v>16</v>
      </c>
      <c r="F264" s="7">
        <v>0</v>
      </c>
      <c r="G264" s="7">
        <v>1.27</v>
      </c>
    </row>
    <row r="265" s="7" customFormat="1" ht="15.3" spans="1:7">
      <c r="A265" s="7" t="s">
        <v>29</v>
      </c>
      <c r="B265" s="9">
        <v>45952</v>
      </c>
      <c r="C265" s="10">
        <v>24</v>
      </c>
      <c r="D265" s="7">
        <v>9.96</v>
      </c>
      <c r="E265" s="7" t="s">
        <v>16</v>
      </c>
      <c r="F265" s="7">
        <v>0</v>
      </c>
      <c r="G265" s="7">
        <v>1.36</v>
      </c>
    </row>
    <row r="266" s="7" customFormat="1" ht="15.3" spans="1:7">
      <c r="A266" s="7" t="s">
        <v>29</v>
      </c>
      <c r="B266" s="9">
        <v>45953</v>
      </c>
      <c r="C266" s="10">
        <v>2</v>
      </c>
      <c r="D266" s="7">
        <v>9.86</v>
      </c>
      <c r="E266" s="7" t="s">
        <v>16</v>
      </c>
      <c r="F266" s="7">
        <v>0</v>
      </c>
      <c r="G266" s="7">
        <v>0.93</v>
      </c>
    </row>
    <row r="267" s="7" customFormat="1" ht="15.3" spans="1:7">
      <c r="A267" s="7" t="s">
        <v>29</v>
      </c>
      <c r="B267" s="9">
        <v>45953</v>
      </c>
      <c r="C267" s="10">
        <v>4</v>
      </c>
      <c r="D267" s="7">
        <v>9.41</v>
      </c>
      <c r="E267" s="7" t="s">
        <v>16</v>
      </c>
      <c r="F267" s="7">
        <v>0</v>
      </c>
      <c r="G267" s="7">
        <v>1.49</v>
      </c>
    </row>
    <row r="268" s="7" customFormat="1" ht="15.3" spans="1:7">
      <c r="A268" s="7" t="s">
        <v>29</v>
      </c>
      <c r="B268" s="9">
        <v>45953</v>
      </c>
      <c r="C268" s="10">
        <v>6</v>
      </c>
      <c r="D268" s="7">
        <v>9.36</v>
      </c>
      <c r="E268" s="7" t="s">
        <v>16</v>
      </c>
      <c r="F268" s="7">
        <v>0</v>
      </c>
      <c r="G268" s="7">
        <v>1.7</v>
      </c>
    </row>
    <row r="269" s="7" customFormat="1" ht="15.3" spans="1:7">
      <c r="A269" s="7" t="s">
        <v>29</v>
      </c>
      <c r="B269" s="9">
        <v>45953</v>
      </c>
      <c r="C269" s="10">
        <v>8</v>
      </c>
      <c r="D269" s="7">
        <v>9.51</v>
      </c>
      <c r="E269" s="7" t="s">
        <v>16</v>
      </c>
      <c r="F269" s="7">
        <v>0</v>
      </c>
      <c r="G269" s="7">
        <v>1.82</v>
      </c>
    </row>
    <row r="270" s="7" customFormat="1" ht="15.3" spans="1:7">
      <c r="A270" s="7" t="s">
        <v>29</v>
      </c>
      <c r="B270" s="9">
        <v>45953</v>
      </c>
      <c r="C270" s="10">
        <v>10</v>
      </c>
      <c r="D270" s="7">
        <v>11.81</v>
      </c>
      <c r="E270" s="7" t="s">
        <v>16</v>
      </c>
      <c r="F270" s="7">
        <v>0</v>
      </c>
      <c r="G270" s="7">
        <v>2.21</v>
      </c>
    </row>
    <row r="271" s="7" customFormat="1" ht="15.3" spans="1:7">
      <c r="A271" s="7" t="s">
        <v>29</v>
      </c>
      <c r="B271" s="9">
        <v>45953</v>
      </c>
      <c r="C271" s="10">
        <v>12</v>
      </c>
      <c r="D271" s="7">
        <v>13.11</v>
      </c>
      <c r="E271" s="7" t="s">
        <v>16</v>
      </c>
      <c r="F271" s="7">
        <v>0</v>
      </c>
      <c r="G271" s="7">
        <v>2.51</v>
      </c>
    </row>
    <row r="272" s="7" customFormat="1" ht="15.3" spans="1:7">
      <c r="A272" s="7" t="s">
        <v>29</v>
      </c>
      <c r="B272" s="9">
        <v>45953</v>
      </c>
      <c r="C272" s="10">
        <v>14</v>
      </c>
      <c r="D272" s="7">
        <v>14.71</v>
      </c>
      <c r="E272" s="7" t="s">
        <v>18</v>
      </c>
      <c r="F272" s="7">
        <v>0</v>
      </c>
      <c r="G272" s="7">
        <v>2.1</v>
      </c>
    </row>
    <row r="273" s="7" customFormat="1" ht="15.3" spans="1:7">
      <c r="A273" s="7" t="s">
        <v>29</v>
      </c>
      <c r="B273" s="9">
        <v>45953</v>
      </c>
      <c r="C273" s="10">
        <v>16</v>
      </c>
      <c r="D273" s="7">
        <v>14.21</v>
      </c>
      <c r="E273" s="7" t="s">
        <v>18</v>
      </c>
      <c r="F273" s="7">
        <v>0</v>
      </c>
      <c r="G273" s="7">
        <v>1.86</v>
      </c>
    </row>
    <row r="274" s="7" customFormat="1" ht="15.3" spans="1:7">
      <c r="A274" s="7" t="s">
        <v>29</v>
      </c>
      <c r="B274" s="9">
        <v>45953</v>
      </c>
      <c r="C274" s="10">
        <v>18</v>
      </c>
      <c r="D274" s="7">
        <v>12.86</v>
      </c>
      <c r="E274" s="7" t="s">
        <v>16</v>
      </c>
      <c r="F274" s="7">
        <v>0</v>
      </c>
      <c r="G274" s="7">
        <v>1.96</v>
      </c>
    </row>
    <row r="275" s="7" customFormat="1" ht="15.3" spans="1:7">
      <c r="A275" s="7" t="s">
        <v>29</v>
      </c>
      <c r="B275" s="9">
        <v>45953</v>
      </c>
      <c r="C275" s="10">
        <v>20</v>
      </c>
      <c r="D275" s="7">
        <v>10.16</v>
      </c>
      <c r="E275" s="7" t="s">
        <v>16</v>
      </c>
      <c r="F275" s="7">
        <v>0</v>
      </c>
      <c r="G275" s="7">
        <v>1.79</v>
      </c>
    </row>
    <row r="276" s="7" customFormat="1" ht="15.3" spans="1:7">
      <c r="A276" s="7" t="s">
        <v>29</v>
      </c>
      <c r="B276" s="9">
        <v>45953</v>
      </c>
      <c r="C276" s="10">
        <v>22</v>
      </c>
      <c r="D276" s="7">
        <v>9.26</v>
      </c>
      <c r="E276" s="7" t="s">
        <v>16</v>
      </c>
      <c r="F276" s="7">
        <v>0</v>
      </c>
      <c r="G276" s="7">
        <v>1.14</v>
      </c>
    </row>
    <row r="277" s="7" customFormat="1" ht="15.3" spans="1:7">
      <c r="A277" s="7" t="s">
        <v>29</v>
      </c>
      <c r="B277" s="9">
        <v>45953</v>
      </c>
      <c r="C277" s="10">
        <v>24</v>
      </c>
      <c r="D277" s="7">
        <v>8.81</v>
      </c>
      <c r="E277" s="7" t="s">
        <v>16</v>
      </c>
      <c r="F277" s="7">
        <v>0</v>
      </c>
      <c r="G277" s="7">
        <v>1.54</v>
      </c>
    </row>
    <row r="278" s="7" customFormat="1" ht="15.3" spans="1:7">
      <c r="A278" s="7" t="s">
        <v>29</v>
      </c>
      <c r="B278" s="9">
        <v>45954</v>
      </c>
      <c r="C278" s="10">
        <v>2</v>
      </c>
      <c r="D278" s="7">
        <v>9.06</v>
      </c>
      <c r="E278" s="7" t="s">
        <v>18</v>
      </c>
      <c r="F278" s="7">
        <v>0</v>
      </c>
      <c r="G278" s="7">
        <v>1</v>
      </c>
    </row>
    <row r="279" s="7" customFormat="1" ht="15.3" spans="1:7">
      <c r="A279" s="7" t="s">
        <v>29</v>
      </c>
      <c r="B279" s="9">
        <v>45954</v>
      </c>
      <c r="C279" s="10">
        <v>4</v>
      </c>
      <c r="D279" s="7">
        <v>9.16</v>
      </c>
      <c r="E279" s="7" t="s">
        <v>16</v>
      </c>
      <c r="F279" s="7">
        <v>0</v>
      </c>
      <c r="G279" s="7">
        <v>1.69</v>
      </c>
    </row>
    <row r="280" s="7" customFormat="1" ht="15.3" spans="1:7">
      <c r="A280" s="7" t="s">
        <v>29</v>
      </c>
      <c r="B280" s="9">
        <v>45954</v>
      </c>
      <c r="C280" s="10">
        <v>6</v>
      </c>
      <c r="D280" s="7">
        <v>8.96</v>
      </c>
      <c r="E280" s="7" t="s">
        <v>16</v>
      </c>
      <c r="F280" s="7">
        <v>0</v>
      </c>
      <c r="G280" s="7">
        <v>1.39</v>
      </c>
    </row>
    <row r="281" s="7" customFormat="1" ht="15.3" spans="1:7">
      <c r="A281" s="7" t="s">
        <v>29</v>
      </c>
      <c r="B281" s="9">
        <v>45954</v>
      </c>
      <c r="C281" s="10">
        <v>8</v>
      </c>
      <c r="D281" s="7">
        <v>9.11</v>
      </c>
      <c r="E281" s="7" t="s">
        <v>16</v>
      </c>
      <c r="F281" s="7">
        <v>0</v>
      </c>
      <c r="G281" s="7">
        <v>1.49</v>
      </c>
    </row>
    <row r="282" s="7" customFormat="1" ht="15.3" spans="1:7">
      <c r="A282" s="7" t="s">
        <v>29</v>
      </c>
      <c r="B282" s="9">
        <v>45954</v>
      </c>
      <c r="C282" s="10">
        <v>10</v>
      </c>
      <c r="D282" s="7">
        <v>12.21</v>
      </c>
      <c r="E282" s="7" t="s">
        <v>16</v>
      </c>
      <c r="F282" s="7">
        <v>0</v>
      </c>
      <c r="G282" s="7">
        <v>0.61</v>
      </c>
    </row>
    <row r="283" s="7" customFormat="1" ht="15.3" spans="1:7">
      <c r="A283" s="7" t="s">
        <v>29</v>
      </c>
      <c r="B283" s="9">
        <v>45954</v>
      </c>
      <c r="C283" s="10">
        <v>12</v>
      </c>
      <c r="D283" s="7">
        <v>14.71</v>
      </c>
      <c r="E283" s="7" t="s">
        <v>16</v>
      </c>
      <c r="F283" s="7">
        <v>0</v>
      </c>
      <c r="G283" s="7">
        <v>1.42</v>
      </c>
    </row>
    <row r="284" s="7" customFormat="1" ht="15.3" spans="1:7">
      <c r="A284" s="7" t="s">
        <v>29</v>
      </c>
      <c r="B284" s="9">
        <v>45954</v>
      </c>
      <c r="C284" s="10">
        <v>14</v>
      </c>
      <c r="D284" s="7">
        <v>15.16</v>
      </c>
      <c r="E284" s="7" t="s">
        <v>18</v>
      </c>
      <c r="F284" s="7">
        <v>0</v>
      </c>
      <c r="G284" s="7">
        <v>1</v>
      </c>
    </row>
    <row r="285" s="7" customFormat="1" ht="15.3" spans="1:7">
      <c r="A285" s="7" t="s">
        <v>29</v>
      </c>
      <c r="B285" s="9">
        <v>45954</v>
      </c>
      <c r="C285" s="10">
        <v>16</v>
      </c>
      <c r="D285" s="7">
        <v>15.36</v>
      </c>
      <c r="E285" s="7" t="s">
        <v>18</v>
      </c>
      <c r="F285" s="7">
        <v>0</v>
      </c>
      <c r="G285" s="7">
        <v>0.88</v>
      </c>
    </row>
    <row r="286" s="7" customFormat="1" ht="15.3" spans="1:7">
      <c r="A286" s="7" t="s">
        <v>29</v>
      </c>
      <c r="B286" s="9">
        <v>45954</v>
      </c>
      <c r="C286" s="10">
        <v>18</v>
      </c>
      <c r="D286" s="7">
        <v>14.36</v>
      </c>
      <c r="E286" s="7" t="s">
        <v>19</v>
      </c>
      <c r="F286" s="7">
        <v>0</v>
      </c>
      <c r="G286" s="7">
        <v>0.11</v>
      </c>
    </row>
    <row r="287" s="7" customFormat="1" ht="15.3" spans="1:7">
      <c r="A287" s="7" t="s">
        <v>29</v>
      </c>
      <c r="B287" s="9">
        <v>45954</v>
      </c>
      <c r="C287" s="10">
        <v>20</v>
      </c>
      <c r="D287" s="7">
        <v>11.76</v>
      </c>
      <c r="E287" s="7" t="s">
        <v>16</v>
      </c>
      <c r="F287" s="7">
        <v>0</v>
      </c>
      <c r="G287" s="7">
        <v>1.25</v>
      </c>
    </row>
    <row r="288" s="7" customFormat="1" ht="15.3" spans="1:7">
      <c r="A288" s="7" t="s">
        <v>29</v>
      </c>
      <c r="B288" s="9">
        <v>45954</v>
      </c>
      <c r="C288" s="10">
        <v>22</v>
      </c>
      <c r="D288" s="7">
        <v>10.36</v>
      </c>
      <c r="E288" s="7" t="s">
        <v>16</v>
      </c>
      <c r="F288" s="7">
        <v>0</v>
      </c>
      <c r="G288" s="7">
        <v>1.69</v>
      </c>
    </row>
    <row r="289" s="7" customFormat="1" ht="15.3" spans="1:7">
      <c r="A289" s="7" t="s">
        <v>29</v>
      </c>
      <c r="B289" s="9">
        <v>45954</v>
      </c>
      <c r="C289" s="10">
        <v>24</v>
      </c>
      <c r="D289" s="7">
        <v>9.61</v>
      </c>
      <c r="E289" s="7" t="s">
        <v>16</v>
      </c>
      <c r="F289" s="7">
        <v>0</v>
      </c>
      <c r="G289" s="7">
        <v>1.84</v>
      </c>
    </row>
    <row r="290" s="7" customFormat="1" ht="15.3" spans="1:7">
      <c r="A290" s="7" t="s">
        <v>29</v>
      </c>
      <c r="B290" s="9">
        <v>45955</v>
      </c>
      <c r="C290" s="10">
        <v>2</v>
      </c>
      <c r="D290" s="7">
        <v>8.96</v>
      </c>
      <c r="E290" s="7" t="s">
        <v>16</v>
      </c>
      <c r="F290" s="7">
        <v>0</v>
      </c>
      <c r="G290" s="7">
        <v>1.67</v>
      </c>
    </row>
    <row r="291" s="7" customFormat="1" ht="15.3" spans="1:7">
      <c r="A291" s="7" t="s">
        <v>29</v>
      </c>
      <c r="B291" s="9">
        <v>45955</v>
      </c>
      <c r="C291" s="10">
        <v>4</v>
      </c>
      <c r="D291" s="7">
        <v>8.91</v>
      </c>
      <c r="E291" s="7" t="s">
        <v>16</v>
      </c>
      <c r="F291" s="7">
        <v>0</v>
      </c>
      <c r="G291" s="7">
        <v>1.94</v>
      </c>
    </row>
    <row r="292" s="7" customFormat="1" ht="15.3" spans="1:7">
      <c r="A292" s="7" t="s">
        <v>29</v>
      </c>
      <c r="B292" s="9">
        <v>45955</v>
      </c>
      <c r="C292" s="10">
        <v>6</v>
      </c>
      <c r="D292" s="7">
        <v>8.66</v>
      </c>
      <c r="E292" s="7" t="s">
        <v>16</v>
      </c>
      <c r="F292" s="7">
        <v>0</v>
      </c>
      <c r="G292" s="7">
        <v>1.19</v>
      </c>
    </row>
    <row r="293" s="7" customFormat="1" ht="15.3" spans="1:7">
      <c r="A293" s="7" t="s">
        <v>29</v>
      </c>
      <c r="B293" s="9">
        <v>45955</v>
      </c>
      <c r="C293" s="10">
        <v>8</v>
      </c>
      <c r="D293" s="7">
        <v>8.61</v>
      </c>
      <c r="E293" s="7" t="s">
        <v>16</v>
      </c>
      <c r="F293" s="7">
        <v>0</v>
      </c>
      <c r="G293" s="7">
        <v>1.59</v>
      </c>
    </row>
    <row r="294" s="7" customFormat="1" ht="15.3" spans="1:7">
      <c r="A294" s="7" t="s">
        <v>29</v>
      </c>
      <c r="B294" s="9">
        <v>45955</v>
      </c>
      <c r="C294" s="10">
        <v>10</v>
      </c>
      <c r="D294" s="7">
        <v>11.91</v>
      </c>
      <c r="E294" s="7" t="s">
        <v>16</v>
      </c>
      <c r="F294" s="7">
        <v>0</v>
      </c>
      <c r="G294" s="7">
        <v>0.85</v>
      </c>
    </row>
    <row r="295" s="7" customFormat="1" ht="15.3" spans="1:7">
      <c r="A295" s="7" t="s">
        <v>29</v>
      </c>
      <c r="B295" s="9">
        <v>45955</v>
      </c>
      <c r="C295" s="10">
        <v>12</v>
      </c>
      <c r="D295" s="7">
        <v>15.11</v>
      </c>
      <c r="E295" s="7" t="s">
        <v>16</v>
      </c>
      <c r="F295" s="7">
        <v>0</v>
      </c>
      <c r="G295" s="7">
        <v>1.88</v>
      </c>
    </row>
    <row r="296" s="7" customFormat="1" ht="15.3" spans="1:7">
      <c r="A296" s="7" t="s">
        <v>29</v>
      </c>
      <c r="B296" s="9">
        <v>45955</v>
      </c>
      <c r="C296" s="10">
        <v>14</v>
      </c>
      <c r="D296" s="7">
        <v>16.41</v>
      </c>
      <c r="E296" s="7" t="s">
        <v>16</v>
      </c>
      <c r="F296" s="7">
        <v>0</v>
      </c>
      <c r="G296" s="7">
        <v>2.09</v>
      </c>
    </row>
    <row r="297" s="7" customFormat="1" ht="15.3" spans="1:7">
      <c r="A297" s="7" t="s">
        <v>29</v>
      </c>
      <c r="B297" s="9">
        <v>45955</v>
      </c>
      <c r="C297" s="10">
        <v>16</v>
      </c>
      <c r="D297" s="7">
        <v>16.56</v>
      </c>
      <c r="E297" s="7" t="s">
        <v>19</v>
      </c>
      <c r="F297" s="7">
        <v>0</v>
      </c>
      <c r="G297" s="7">
        <v>2.44</v>
      </c>
    </row>
    <row r="298" s="7" customFormat="1" ht="15.3" spans="1:7">
      <c r="A298" s="7" t="s">
        <v>29</v>
      </c>
      <c r="B298" s="9">
        <v>45955</v>
      </c>
      <c r="C298" s="10">
        <v>18</v>
      </c>
      <c r="D298" s="7">
        <v>15.01</v>
      </c>
      <c r="E298" s="7" t="s">
        <v>19</v>
      </c>
      <c r="F298" s="7">
        <v>0</v>
      </c>
      <c r="G298" s="7">
        <v>2.51</v>
      </c>
    </row>
    <row r="299" s="7" customFormat="1" ht="15.3" spans="1:7">
      <c r="A299" s="7" t="s">
        <v>29</v>
      </c>
      <c r="B299" s="9">
        <v>45955</v>
      </c>
      <c r="C299" s="10">
        <v>20</v>
      </c>
      <c r="D299" s="7">
        <v>12.81</v>
      </c>
      <c r="E299" s="7" t="s">
        <v>16</v>
      </c>
      <c r="F299" s="7">
        <v>0</v>
      </c>
      <c r="G299" s="7">
        <v>3.4</v>
      </c>
    </row>
    <row r="300" s="7" customFormat="1" ht="15.3" spans="1:7">
      <c r="A300" s="7" t="s">
        <v>29</v>
      </c>
      <c r="B300" s="9">
        <v>45955</v>
      </c>
      <c r="C300" s="10">
        <v>22</v>
      </c>
      <c r="D300" s="7">
        <v>12.26</v>
      </c>
      <c r="E300" s="7" t="s">
        <v>16</v>
      </c>
      <c r="F300" s="7">
        <v>0</v>
      </c>
      <c r="G300" s="7">
        <v>3.52</v>
      </c>
    </row>
    <row r="301" s="7" customFormat="1" ht="15.3" spans="1:7">
      <c r="A301" s="7" t="s">
        <v>29</v>
      </c>
      <c r="B301" s="9">
        <v>45955</v>
      </c>
      <c r="C301" s="10">
        <v>24</v>
      </c>
      <c r="D301" s="7">
        <v>11.31</v>
      </c>
      <c r="E301" s="7" t="s">
        <v>16</v>
      </c>
      <c r="F301" s="7">
        <v>0</v>
      </c>
      <c r="G301" s="7">
        <v>3.09</v>
      </c>
    </row>
    <row r="302" s="7" customFormat="1" ht="15.3" spans="1:7">
      <c r="A302" s="7" t="s">
        <v>29</v>
      </c>
      <c r="B302" s="9">
        <v>45956</v>
      </c>
      <c r="C302" s="10">
        <v>2</v>
      </c>
      <c r="D302" s="7">
        <v>10.61</v>
      </c>
      <c r="E302" s="7" t="s">
        <v>16</v>
      </c>
      <c r="F302" s="7">
        <v>0</v>
      </c>
      <c r="G302" s="7">
        <v>3.23</v>
      </c>
    </row>
    <row r="303" s="7" customFormat="1" ht="15.3" spans="1:7">
      <c r="A303" s="7" t="s">
        <v>29</v>
      </c>
      <c r="B303" s="9">
        <v>45956</v>
      </c>
      <c r="C303" s="10">
        <v>4</v>
      </c>
      <c r="D303" s="7">
        <v>9.96</v>
      </c>
      <c r="E303" s="7" t="s">
        <v>16</v>
      </c>
      <c r="F303" s="7">
        <v>0</v>
      </c>
      <c r="G303" s="7">
        <v>3.28</v>
      </c>
    </row>
    <row r="304" s="7" customFormat="1" ht="15.3" spans="1:7">
      <c r="A304" s="7" t="s">
        <v>29</v>
      </c>
      <c r="B304" s="9">
        <v>45956</v>
      </c>
      <c r="C304" s="10">
        <v>6</v>
      </c>
      <c r="D304" s="7">
        <v>9.41</v>
      </c>
      <c r="E304" s="7" t="s">
        <v>16</v>
      </c>
      <c r="F304" s="7">
        <v>0</v>
      </c>
      <c r="G304" s="7">
        <v>3.4</v>
      </c>
    </row>
    <row r="305" s="7" customFormat="1" ht="15.3" spans="1:7">
      <c r="A305" s="7" t="s">
        <v>29</v>
      </c>
      <c r="B305" s="9">
        <v>45956</v>
      </c>
      <c r="C305" s="10">
        <v>8</v>
      </c>
      <c r="D305" s="7">
        <v>9.76</v>
      </c>
      <c r="E305" s="7" t="s">
        <v>19</v>
      </c>
      <c r="F305" s="7">
        <v>0</v>
      </c>
      <c r="G305" s="7">
        <v>3.33</v>
      </c>
    </row>
    <row r="306" s="7" customFormat="1" ht="15.3" spans="1:7">
      <c r="A306" s="7" t="s">
        <v>29</v>
      </c>
      <c r="B306" s="9">
        <v>45956</v>
      </c>
      <c r="C306" s="10">
        <v>10</v>
      </c>
      <c r="D306" s="7">
        <v>10.91</v>
      </c>
      <c r="E306" s="7" t="s">
        <v>16</v>
      </c>
      <c r="F306" s="7">
        <v>0.1</v>
      </c>
      <c r="G306" s="7">
        <v>3.4</v>
      </c>
    </row>
    <row r="307" s="7" customFormat="1" ht="15.3" spans="1:7">
      <c r="A307" s="7" t="s">
        <v>29</v>
      </c>
      <c r="B307" s="9">
        <v>45956</v>
      </c>
      <c r="C307" s="10">
        <v>12</v>
      </c>
      <c r="D307" s="7">
        <v>14.21</v>
      </c>
      <c r="E307" s="7" t="s">
        <v>16</v>
      </c>
      <c r="F307" s="7">
        <v>0</v>
      </c>
      <c r="G307" s="7">
        <v>6.16</v>
      </c>
    </row>
    <row r="308" s="7" customFormat="1" ht="15.3" spans="1:7">
      <c r="A308" s="7" t="s">
        <v>29</v>
      </c>
      <c r="B308" s="9">
        <v>45956</v>
      </c>
      <c r="C308" s="10">
        <v>14</v>
      </c>
      <c r="D308" s="7">
        <v>14.11</v>
      </c>
      <c r="E308" s="7" t="s">
        <v>16</v>
      </c>
      <c r="F308" s="7">
        <v>0</v>
      </c>
      <c r="G308" s="7">
        <v>5.5</v>
      </c>
    </row>
    <row r="309" s="7" customFormat="1" ht="15.3" spans="1:7">
      <c r="A309" s="7" t="s">
        <v>29</v>
      </c>
      <c r="B309" s="9">
        <v>45956</v>
      </c>
      <c r="C309" s="10">
        <v>16</v>
      </c>
      <c r="D309" s="7">
        <v>12.76</v>
      </c>
      <c r="E309" s="7" t="s">
        <v>16</v>
      </c>
      <c r="F309" s="7">
        <v>0</v>
      </c>
      <c r="G309" s="7">
        <v>4.86</v>
      </c>
    </row>
    <row r="310" s="7" customFormat="1" ht="15.3" spans="1:7">
      <c r="A310" s="7" t="s">
        <v>29</v>
      </c>
      <c r="B310" s="9">
        <v>45956</v>
      </c>
      <c r="C310" s="10">
        <v>18</v>
      </c>
      <c r="D310" s="7">
        <v>10.16</v>
      </c>
      <c r="E310" s="7" t="s">
        <v>16</v>
      </c>
      <c r="F310" s="7">
        <v>0</v>
      </c>
      <c r="G310" s="7">
        <v>2.7</v>
      </c>
    </row>
    <row r="311" s="7" customFormat="1" ht="15.3" spans="1:7">
      <c r="A311" s="7" t="s">
        <v>29</v>
      </c>
      <c r="B311" s="9">
        <v>45956</v>
      </c>
      <c r="C311" s="10">
        <v>20</v>
      </c>
      <c r="D311" s="7">
        <v>7.96</v>
      </c>
      <c r="E311" s="7" t="s">
        <v>16</v>
      </c>
      <c r="F311" s="7">
        <v>0</v>
      </c>
      <c r="G311" s="7">
        <v>2</v>
      </c>
    </row>
    <row r="312" s="7" customFormat="1" ht="15.3" spans="1:7">
      <c r="A312" s="7" t="s">
        <v>29</v>
      </c>
      <c r="B312" s="9">
        <v>45956</v>
      </c>
      <c r="C312" s="10">
        <v>22</v>
      </c>
      <c r="D312" s="7">
        <v>7.86</v>
      </c>
      <c r="E312" s="7" t="s">
        <v>16</v>
      </c>
      <c r="F312" s="7">
        <v>0</v>
      </c>
      <c r="G312" s="7">
        <v>0.52</v>
      </c>
    </row>
    <row r="313" s="7" customFormat="1" ht="15.3" spans="1:7">
      <c r="A313" s="7" t="s">
        <v>29</v>
      </c>
      <c r="B313" s="9">
        <v>45956</v>
      </c>
      <c r="C313" s="10">
        <v>24</v>
      </c>
      <c r="D313" s="7">
        <v>6.56</v>
      </c>
      <c r="E313" s="7" t="s">
        <v>16</v>
      </c>
      <c r="F313" s="7">
        <v>0</v>
      </c>
      <c r="G313" s="7">
        <v>1.76</v>
      </c>
    </row>
    <row r="314" s="7" customFormat="1" ht="15.3" spans="1:7">
      <c r="A314" s="7" t="s">
        <v>29</v>
      </c>
      <c r="B314" s="9">
        <v>45957</v>
      </c>
      <c r="C314" s="10">
        <v>2</v>
      </c>
      <c r="D314" s="7">
        <v>5.46</v>
      </c>
      <c r="E314" s="7" t="s">
        <v>16</v>
      </c>
      <c r="F314" s="7">
        <v>0</v>
      </c>
      <c r="G314" s="7">
        <v>1.78</v>
      </c>
    </row>
    <row r="315" s="7" customFormat="1" ht="15.3" spans="1:7">
      <c r="A315" s="7" t="s">
        <v>29</v>
      </c>
      <c r="B315" s="9">
        <v>45957</v>
      </c>
      <c r="C315" s="10">
        <v>4</v>
      </c>
      <c r="D315" s="7">
        <v>4.96</v>
      </c>
      <c r="E315" s="7" t="s">
        <v>16</v>
      </c>
      <c r="F315" s="7">
        <v>0</v>
      </c>
      <c r="G315" s="7">
        <v>1.86</v>
      </c>
    </row>
    <row r="316" s="7" customFormat="1" ht="15.3" spans="1:7">
      <c r="A316" s="7" t="s">
        <v>29</v>
      </c>
      <c r="B316" s="9">
        <v>45957</v>
      </c>
      <c r="C316" s="10">
        <v>6</v>
      </c>
      <c r="D316" s="7">
        <v>3.81</v>
      </c>
      <c r="E316" s="7" t="s">
        <v>16</v>
      </c>
      <c r="F316" s="7">
        <v>0</v>
      </c>
      <c r="G316" s="7">
        <v>1.6</v>
      </c>
    </row>
    <row r="317" s="7" customFormat="1" ht="15.3" spans="1:7">
      <c r="A317" s="7" t="s">
        <v>29</v>
      </c>
      <c r="B317" s="9">
        <v>45957</v>
      </c>
      <c r="C317" s="10">
        <v>8</v>
      </c>
      <c r="D317" s="7">
        <v>3.96</v>
      </c>
      <c r="E317" s="7" t="s">
        <v>16</v>
      </c>
      <c r="F317" s="7">
        <v>0</v>
      </c>
      <c r="G317" s="7">
        <v>1.8</v>
      </c>
    </row>
    <row r="318" s="7" customFormat="1" ht="15.3" spans="1:7">
      <c r="A318" s="7" t="s">
        <v>29</v>
      </c>
      <c r="B318" s="9">
        <v>45957</v>
      </c>
      <c r="C318" s="10">
        <v>10</v>
      </c>
      <c r="D318" s="7">
        <v>8.91</v>
      </c>
      <c r="E318" s="7" t="s">
        <v>16</v>
      </c>
      <c r="F318" s="7">
        <v>0</v>
      </c>
      <c r="G318" s="7">
        <v>0.27</v>
      </c>
    </row>
    <row r="319" s="7" customFormat="1" ht="15.3" spans="1:7">
      <c r="A319" s="7" t="s">
        <v>29</v>
      </c>
      <c r="B319" s="9">
        <v>45957</v>
      </c>
      <c r="C319" s="10">
        <v>12</v>
      </c>
      <c r="D319" s="7">
        <v>12.21</v>
      </c>
      <c r="E319" s="7" t="s">
        <v>16</v>
      </c>
      <c r="F319" s="7">
        <v>0</v>
      </c>
      <c r="G319" s="7">
        <v>1.23</v>
      </c>
    </row>
    <row r="320" s="7" customFormat="1" ht="15.3" spans="1:7">
      <c r="A320" s="7" t="s">
        <v>29</v>
      </c>
      <c r="B320" s="9">
        <v>45957</v>
      </c>
      <c r="C320" s="10">
        <v>14</v>
      </c>
      <c r="D320" s="7">
        <v>13.41</v>
      </c>
      <c r="E320" s="7" t="s">
        <v>16</v>
      </c>
      <c r="F320" s="7">
        <v>0</v>
      </c>
      <c r="G320" s="7">
        <v>2.1</v>
      </c>
    </row>
    <row r="321" s="7" customFormat="1" ht="15.3" spans="1:7">
      <c r="A321" s="7" t="s">
        <v>29</v>
      </c>
      <c r="B321" s="9">
        <v>45957</v>
      </c>
      <c r="C321" s="10">
        <v>16</v>
      </c>
      <c r="D321" s="7">
        <v>14.86</v>
      </c>
      <c r="E321" s="7" t="s">
        <v>16</v>
      </c>
      <c r="F321" s="7">
        <v>0</v>
      </c>
      <c r="G321" s="7">
        <v>2.45</v>
      </c>
    </row>
    <row r="322" s="7" customFormat="1" ht="15.3" spans="1:7">
      <c r="A322" s="7" t="s">
        <v>29</v>
      </c>
      <c r="B322" s="9">
        <v>45957</v>
      </c>
      <c r="C322" s="10">
        <v>18</v>
      </c>
      <c r="D322" s="7">
        <v>12.46</v>
      </c>
      <c r="E322" s="7" t="s">
        <v>16</v>
      </c>
      <c r="F322" s="7">
        <v>0</v>
      </c>
      <c r="G322" s="7">
        <v>1.23</v>
      </c>
    </row>
    <row r="323" s="7" customFormat="1" ht="15.3" spans="1:7">
      <c r="A323" s="7" t="s">
        <v>29</v>
      </c>
      <c r="B323" s="9">
        <v>45957</v>
      </c>
      <c r="C323" s="10">
        <v>20</v>
      </c>
      <c r="D323" s="7">
        <v>10.06</v>
      </c>
      <c r="E323" s="7" t="s">
        <v>16</v>
      </c>
      <c r="F323" s="7">
        <v>0</v>
      </c>
      <c r="G323" s="7">
        <v>0.88</v>
      </c>
    </row>
    <row r="324" s="7" customFormat="1" ht="15.3" spans="1:7">
      <c r="A324" s="7" t="s">
        <v>29</v>
      </c>
      <c r="B324" s="9">
        <v>45957</v>
      </c>
      <c r="C324" s="10">
        <v>22</v>
      </c>
      <c r="D324" s="7">
        <v>8.71</v>
      </c>
      <c r="E324" s="7" t="s">
        <v>16</v>
      </c>
      <c r="F324" s="7">
        <v>0</v>
      </c>
      <c r="G324" s="7">
        <v>2.57</v>
      </c>
    </row>
    <row r="325" s="7" customFormat="1" ht="15.3" spans="1:7">
      <c r="A325" s="7" t="s">
        <v>29</v>
      </c>
      <c r="B325" s="9">
        <v>45957</v>
      </c>
      <c r="C325" s="10">
        <v>24</v>
      </c>
      <c r="D325" s="7">
        <v>7.56</v>
      </c>
      <c r="E325" s="7" t="s">
        <v>16</v>
      </c>
      <c r="F325" s="7">
        <v>0</v>
      </c>
      <c r="G325" s="7">
        <v>2.14</v>
      </c>
    </row>
    <row r="326" s="7" customFormat="1" ht="15.3" spans="1:7">
      <c r="A326" s="7" t="s">
        <v>29</v>
      </c>
      <c r="B326" s="9">
        <v>45958</v>
      </c>
      <c r="C326" s="10">
        <v>2</v>
      </c>
      <c r="D326" s="7">
        <v>6.66</v>
      </c>
      <c r="E326" s="7" t="s">
        <v>16</v>
      </c>
      <c r="F326" s="7">
        <v>0</v>
      </c>
      <c r="G326" s="7">
        <v>1.77</v>
      </c>
    </row>
    <row r="327" s="7" customFormat="1" ht="15.3" spans="1:7">
      <c r="A327" s="7" t="s">
        <v>29</v>
      </c>
      <c r="B327" s="9">
        <v>45958</v>
      </c>
      <c r="C327" s="10">
        <v>4</v>
      </c>
      <c r="D327" s="7">
        <v>6.06</v>
      </c>
      <c r="E327" s="7" t="s">
        <v>16</v>
      </c>
      <c r="F327" s="7">
        <v>0</v>
      </c>
      <c r="G327" s="7">
        <v>1.82</v>
      </c>
    </row>
    <row r="328" s="7" customFormat="1" ht="15.3" spans="1:7">
      <c r="A328" s="7" t="s">
        <v>29</v>
      </c>
      <c r="B328" s="9">
        <v>45958</v>
      </c>
      <c r="C328" s="10">
        <v>6</v>
      </c>
      <c r="D328" s="7">
        <v>6.06</v>
      </c>
      <c r="E328" s="7" t="s">
        <v>16</v>
      </c>
      <c r="F328" s="7">
        <v>0</v>
      </c>
      <c r="G328" s="7">
        <v>2.01</v>
      </c>
    </row>
    <row r="329" s="7" customFormat="1" ht="15.3" spans="1:7">
      <c r="A329" s="7" t="s">
        <v>29</v>
      </c>
      <c r="B329" s="9">
        <v>45958</v>
      </c>
      <c r="C329" s="10">
        <v>8</v>
      </c>
      <c r="D329" s="7">
        <v>6.66</v>
      </c>
      <c r="E329" s="7" t="s">
        <v>16</v>
      </c>
      <c r="F329" s="7">
        <v>0</v>
      </c>
      <c r="G329" s="7">
        <v>2.51</v>
      </c>
    </row>
    <row r="330" s="7" customFormat="1" ht="15.3" spans="1:7">
      <c r="A330" s="7" t="s">
        <v>29</v>
      </c>
      <c r="B330" s="9">
        <v>45958</v>
      </c>
      <c r="C330" s="10">
        <v>10</v>
      </c>
      <c r="D330" s="7">
        <v>10.91</v>
      </c>
      <c r="E330" s="7" t="s">
        <v>16</v>
      </c>
      <c r="F330" s="7">
        <v>0</v>
      </c>
      <c r="G330" s="7">
        <v>1.83</v>
      </c>
    </row>
    <row r="331" s="7" customFormat="1" ht="15.3" spans="1:7">
      <c r="A331" s="7" t="s">
        <v>29</v>
      </c>
      <c r="B331" s="9">
        <v>45958</v>
      </c>
      <c r="C331" s="10">
        <v>12</v>
      </c>
      <c r="D331" s="7">
        <v>15.46</v>
      </c>
      <c r="E331" s="7" t="s">
        <v>16</v>
      </c>
      <c r="F331" s="7">
        <v>0</v>
      </c>
      <c r="G331" s="7">
        <v>1.98</v>
      </c>
    </row>
    <row r="332" s="7" customFormat="1" ht="15.3" spans="1:7">
      <c r="A332" s="7" t="s">
        <v>29</v>
      </c>
      <c r="B332" s="9">
        <v>45958</v>
      </c>
      <c r="C332" s="10">
        <v>14</v>
      </c>
      <c r="D332" s="7">
        <v>17.06</v>
      </c>
      <c r="E332" s="7" t="s">
        <v>16</v>
      </c>
      <c r="F332" s="7">
        <v>0</v>
      </c>
      <c r="G332" s="7">
        <v>2.67</v>
      </c>
    </row>
    <row r="333" s="7" customFormat="1" ht="15.3" spans="1:7">
      <c r="A333" s="7" t="s">
        <v>29</v>
      </c>
      <c r="B333" s="9">
        <v>45958</v>
      </c>
      <c r="C333" s="10">
        <v>16</v>
      </c>
      <c r="D333" s="7">
        <v>16.31</v>
      </c>
      <c r="E333" s="7" t="s">
        <v>18</v>
      </c>
      <c r="F333" s="7">
        <v>0</v>
      </c>
      <c r="G333" s="7">
        <v>3.11</v>
      </c>
    </row>
    <row r="334" s="7" customFormat="1" ht="15.3" spans="1:7">
      <c r="A334" s="7" t="s">
        <v>29</v>
      </c>
      <c r="B334" s="9">
        <v>45958</v>
      </c>
      <c r="C334" s="10">
        <v>18</v>
      </c>
      <c r="D334" s="7">
        <v>14.31</v>
      </c>
      <c r="E334" s="7" t="s">
        <v>18</v>
      </c>
      <c r="F334" s="7">
        <v>0</v>
      </c>
      <c r="G334" s="7">
        <v>2.46</v>
      </c>
    </row>
    <row r="335" s="7" customFormat="1" ht="15.3" spans="1:7">
      <c r="A335" s="7" t="s">
        <v>29</v>
      </c>
      <c r="B335" s="9">
        <v>45958</v>
      </c>
      <c r="C335" s="10">
        <v>20</v>
      </c>
      <c r="D335" s="7">
        <v>12.96</v>
      </c>
      <c r="E335" s="7" t="s">
        <v>16</v>
      </c>
      <c r="F335" s="7">
        <v>0</v>
      </c>
      <c r="G335" s="7">
        <v>2.9</v>
      </c>
    </row>
    <row r="336" s="7" customFormat="1" ht="15.3" spans="1:7">
      <c r="A336" s="7" t="s">
        <v>29</v>
      </c>
      <c r="B336" s="9">
        <v>45958</v>
      </c>
      <c r="C336" s="10">
        <v>22</v>
      </c>
      <c r="D336" s="7">
        <v>12.26</v>
      </c>
      <c r="E336" s="7" t="s">
        <v>16</v>
      </c>
      <c r="F336" s="7">
        <v>0</v>
      </c>
      <c r="G336" s="7">
        <v>2.75</v>
      </c>
    </row>
    <row r="337" s="7" customFormat="1" ht="15.3" spans="1:7">
      <c r="A337" s="7" t="s">
        <v>29</v>
      </c>
      <c r="B337" s="9">
        <v>45958</v>
      </c>
      <c r="C337" s="10">
        <v>24</v>
      </c>
      <c r="D337" s="7">
        <v>12.01</v>
      </c>
      <c r="E337" s="7" t="s">
        <v>16</v>
      </c>
      <c r="F337" s="7">
        <v>0</v>
      </c>
      <c r="G337" s="7">
        <v>2.95</v>
      </c>
    </row>
    <row r="338" s="7" customFormat="1" ht="15.3" spans="1:7">
      <c r="A338" s="7" t="s">
        <v>29</v>
      </c>
      <c r="B338" s="9">
        <v>45959</v>
      </c>
      <c r="C338" s="10">
        <v>2</v>
      </c>
      <c r="D338" s="7">
        <v>12.26</v>
      </c>
      <c r="E338" s="7" t="s">
        <v>16</v>
      </c>
      <c r="F338" s="7">
        <v>0</v>
      </c>
      <c r="G338" s="7">
        <v>3.2</v>
      </c>
    </row>
    <row r="339" s="7" customFormat="1" ht="15.3" spans="1:7">
      <c r="A339" s="7" t="s">
        <v>29</v>
      </c>
      <c r="B339" s="9">
        <v>45959</v>
      </c>
      <c r="C339" s="10">
        <v>4</v>
      </c>
      <c r="D339" s="7">
        <v>11.46</v>
      </c>
      <c r="E339" s="7" t="s">
        <v>16</v>
      </c>
      <c r="F339" s="7">
        <v>0</v>
      </c>
      <c r="G339" s="7">
        <v>3.17</v>
      </c>
    </row>
    <row r="340" s="7" customFormat="1" ht="15.3" spans="1:7">
      <c r="A340" s="7" t="s">
        <v>29</v>
      </c>
      <c r="B340" s="9">
        <v>45959</v>
      </c>
      <c r="C340" s="10">
        <v>6</v>
      </c>
      <c r="D340" s="7">
        <v>11.06</v>
      </c>
      <c r="E340" s="7" t="s">
        <v>16</v>
      </c>
      <c r="F340" s="7">
        <v>0</v>
      </c>
      <c r="G340" s="7">
        <v>3.26</v>
      </c>
    </row>
    <row r="341" s="7" customFormat="1" ht="15.3" spans="1:7">
      <c r="A341" s="7" t="s">
        <v>29</v>
      </c>
      <c r="B341" s="9">
        <v>45959</v>
      </c>
      <c r="C341" s="10">
        <v>8</v>
      </c>
      <c r="D341" s="7">
        <v>10.86</v>
      </c>
      <c r="E341" s="7" t="s">
        <v>16</v>
      </c>
      <c r="F341" s="7">
        <v>0</v>
      </c>
      <c r="G341" s="7">
        <v>3.27</v>
      </c>
    </row>
    <row r="342" s="7" customFormat="1" ht="15.3" spans="1:7">
      <c r="A342" s="7" t="s">
        <v>29</v>
      </c>
      <c r="B342" s="9">
        <v>45959</v>
      </c>
      <c r="C342" s="10">
        <v>10</v>
      </c>
      <c r="D342" s="7">
        <v>14.51</v>
      </c>
      <c r="E342" s="7" t="s">
        <v>16</v>
      </c>
      <c r="F342" s="7">
        <v>0</v>
      </c>
      <c r="G342" s="7">
        <v>2.77</v>
      </c>
    </row>
    <row r="343" s="7" customFormat="1" ht="15.3" spans="1:7">
      <c r="A343" s="7" t="s">
        <v>29</v>
      </c>
      <c r="B343" s="9">
        <v>45959</v>
      </c>
      <c r="C343" s="10">
        <v>12</v>
      </c>
      <c r="D343" s="7">
        <v>17.76</v>
      </c>
      <c r="E343" s="7" t="s">
        <v>16</v>
      </c>
      <c r="F343" s="7">
        <v>0</v>
      </c>
      <c r="G343" s="7">
        <v>3.02</v>
      </c>
    </row>
    <row r="344" s="7" customFormat="1" ht="15.3" spans="1:7">
      <c r="A344" s="7" t="s">
        <v>29</v>
      </c>
      <c r="B344" s="9">
        <v>45959</v>
      </c>
      <c r="C344" s="10">
        <v>14</v>
      </c>
      <c r="D344" s="7">
        <v>19.61</v>
      </c>
      <c r="E344" s="7" t="s">
        <v>16</v>
      </c>
      <c r="F344" s="7">
        <v>0</v>
      </c>
      <c r="G344" s="7">
        <v>3.68</v>
      </c>
    </row>
    <row r="345" s="7" customFormat="1" ht="15.3" spans="1:7">
      <c r="A345" s="7" t="s">
        <v>29</v>
      </c>
      <c r="B345" s="9">
        <v>45959</v>
      </c>
      <c r="C345" s="10">
        <v>16</v>
      </c>
      <c r="D345" s="7">
        <v>19.81</v>
      </c>
      <c r="E345" s="7" t="s">
        <v>16</v>
      </c>
      <c r="F345" s="7">
        <v>0</v>
      </c>
      <c r="G345" s="7">
        <v>3.5</v>
      </c>
    </row>
    <row r="346" s="7" customFormat="1" ht="15.3" spans="1:7">
      <c r="A346" s="7" t="s">
        <v>29</v>
      </c>
      <c r="B346" s="9">
        <v>45959</v>
      </c>
      <c r="C346" s="10">
        <v>18</v>
      </c>
      <c r="D346" s="7">
        <v>16.71</v>
      </c>
      <c r="E346" s="7" t="s">
        <v>16</v>
      </c>
      <c r="F346" s="7">
        <v>0</v>
      </c>
      <c r="G346" s="7">
        <v>2.3</v>
      </c>
    </row>
    <row r="347" s="7" customFormat="1" ht="15.3" spans="1:7">
      <c r="A347" s="7" t="s">
        <v>29</v>
      </c>
      <c r="B347" s="9">
        <v>45959</v>
      </c>
      <c r="C347" s="10">
        <v>20</v>
      </c>
      <c r="D347" s="7">
        <v>14.81</v>
      </c>
      <c r="E347" s="7" t="s">
        <v>16</v>
      </c>
      <c r="F347" s="7">
        <v>0</v>
      </c>
      <c r="G347" s="7">
        <v>3.15</v>
      </c>
    </row>
    <row r="348" s="7" customFormat="1" ht="15.3" spans="1:7">
      <c r="A348" s="7" t="s">
        <v>29</v>
      </c>
      <c r="B348" s="9">
        <v>45959</v>
      </c>
      <c r="C348" s="10">
        <v>22</v>
      </c>
      <c r="D348" s="7">
        <v>13.61</v>
      </c>
      <c r="E348" s="7" t="s">
        <v>16</v>
      </c>
      <c r="F348" s="7">
        <v>0</v>
      </c>
      <c r="G348" s="7">
        <v>2.95</v>
      </c>
    </row>
    <row r="349" s="7" customFormat="1" ht="15.3" spans="1:7">
      <c r="A349" s="7" t="s">
        <v>29</v>
      </c>
      <c r="B349" s="9">
        <v>45959</v>
      </c>
      <c r="C349" s="10">
        <v>24</v>
      </c>
      <c r="D349" s="7">
        <v>12.06</v>
      </c>
      <c r="E349" s="7" t="s">
        <v>16</v>
      </c>
      <c r="F349" s="7">
        <v>0</v>
      </c>
      <c r="G349" s="7">
        <v>1.91</v>
      </c>
    </row>
    <row r="350" s="7" customFormat="1" ht="15.3" spans="1:7">
      <c r="A350" s="7" t="s">
        <v>29</v>
      </c>
      <c r="B350" s="9">
        <v>45960</v>
      </c>
      <c r="C350" s="10">
        <v>2</v>
      </c>
      <c r="D350" s="7">
        <v>11.01</v>
      </c>
      <c r="E350" s="7" t="s">
        <v>16</v>
      </c>
      <c r="F350" s="7">
        <v>0</v>
      </c>
      <c r="G350" s="7">
        <v>1.34</v>
      </c>
    </row>
    <row r="351" s="7" customFormat="1" ht="15.3" spans="1:7">
      <c r="A351" s="7" t="s">
        <v>29</v>
      </c>
      <c r="B351" s="9">
        <v>45960</v>
      </c>
      <c r="C351" s="10">
        <v>4</v>
      </c>
      <c r="D351" s="7">
        <v>10.26</v>
      </c>
      <c r="E351" s="7" t="s">
        <v>16</v>
      </c>
      <c r="F351" s="7">
        <v>0</v>
      </c>
      <c r="G351" s="7">
        <v>1.8</v>
      </c>
    </row>
    <row r="352" s="7" customFormat="1" ht="15.3" spans="1:7">
      <c r="A352" s="7" t="s">
        <v>29</v>
      </c>
      <c r="B352" s="9">
        <v>45960</v>
      </c>
      <c r="C352" s="10">
        <v>6</v>
      </c>
      <c r="D352" s="7">
        <v>10.11</v>
      </c>
      <c r="E352" s="7" t="s">
        <v>16</v>
      </c>
      <c r="F352" s="7">
        <v>0</v>
      </c>
      <c r="G352" s="7">
        <v>1.42</v>
      </c>
    </row>
    <row r="353" s="7" customFormat="1" ht="15.3" spans="1:7">
      <c r="A353" s="7" t="s">
        <v>29</v>
      </c>
      <c r="B353" s="9">
        <v>45960</v>
      </c>
      <c r="C353" s="10">
        <v>8</v>
      </c>
      <c r="D353" s="7">
        <v>11.01</v>
      </c>
      <c r="E353" s="7" t="s">
        <v>16</v>
      </c>
      <c r="F353" s="7">
        <v>0</v>
      </c>
      <c r="G353" s="7">
        <v>2.1</v>
      </c>
    </row>
    <row r="354" s="7" customFormat="1" ht="15.3" spans="1:7">
      <c r="A354" s="7" t="s">
        <v>29</v>
      </c>
      <c r="B354" s="9">
        <v>45960</v>
      </c>
      <c r="C354" s="10">
        <v>10</v>
      </c>
      <c r="D354" s="7">
        <v>13.86</v>
      </c>
      <c r="E354" s="7" t="s">
        <v>16</v>
      </c>
      <c r="F354" s="7">
        <v>0</v>
      </c>
      <c r="G354" s="7">
        <v>1.01</v>
      </c>
    </row>
    <row r="355" s="7" customFormat="1" ht="15.3" spans="1:7">
      <c r="A355" s="7" t="s">
        <v>29</v>
      </c>
      <c r="B355" s="9">
        <v>45960</v>
      </c>
      <c r="C355" s="10">
        <v>12</v>
      </c>
      <c r="D355" s="7">
        <v>18.01</v>
      </c>
      <c r="E355" s="7" t="s">
        <v>16</v>
      </c>
      <c r="F355" s="7">
        <v>0</v>
      </c>
      <c r="G355" s="7">
        <v>0.97</v>
      </c>
    </row>
    <row r="356" s="7" customFormat="1" ht="15.3" spans="1:7">
      <c r="A356" s="7" t="s">
        <v>29</v>
      </c>
      <c r="B356" s="9">
        <v>45960</v>
      </c>
      <c r="C356" s="10">
        <v>14</v>
      </c>
      <c r="D356" s="7">
        <v>18.61</v>
      </c>
      <c r="E356" s="7" t="s">
        <v>16</v>
      </c>
      <c r="F356" s="7">
        <v>0</v>
      </c>
      <c r="G356" s="7">
        <v>1.12</v>
      </c>
    </row>
    <row r="357" s="7" customFormat="1" ht="15.3" spans="1:7">
      <c r="A357" s="7" t="s">
        <v>29</v>
      </c>
      <c r="B357" s="9">
        <v>45960</v>
      </c>
      <c r="C357" s="10">
        <v>16</v>
      </c>
      <c r="D357" s="7">
        <v>18.16</v>
      </c>
      <c r="E357" s="7" t="s">
        <v>16</v>
      </c>
      <c r="F357" s="7">
        <v>0.1</v>
      </c>
      <c r="G357" s="7">
        <v>1.57</v>
      </c>
    </row>
    <row r="358" s="7" customFormat="1" ht="15.3" spans="1:7">
      <c r="A358" s="7" t="s">
        <v>29</v>
      </c>
      <c r="B358" s="9">
        <v>45960</v>
      </c>
      <c r="C358" s="10">
        <v>18</v>
      </c>
      <c r="D358" s="7">
        <v>15.91</v>
      </c>
      <c r="E358" s="7" t="s">
        <v>19</v>
      </c>
      <c r="F358" s="7">
        <v>0</v>
      </c>
      <c r="G358" s="7">
        <v>2.5</v>
      </c>
    </row>
    <row r="359" s="7" customFormat="1" ht="15.3" spans="1:7">
      <c r="A359" s="7" t="s">
        <v>29</v>
      </c>
      <c r="B359" s="9">
        <v>45960</v>
      </c>
      <c r="C359" s="10">
        <v>20</v>
      </c>
      <c r="D359" s="7">
        <v>13.91</v>
      </c>
      <c r="E359" s="7" t="s">
        <v>18</v>
      </c>
      <c r="F359" s="7">
        <v>0.1</v>
      </c>
      <c r="G359" s="7">
        <v>2.69</v>
      </c>
    </row>
    <row r="360" s="7" customFormat="1" ht="15.3" spans="1:7">
      <c r="A360" s="7" t="s">
        <v>29</v>
      </c>
      <c r="B360" s="9">
        <v>45960</v>
      </c>
      <c r="C360" s="10">
        <v>22</v>
      </c>
      <c r="D360" s="7">
        <v>13.11</v>
      </c>
      <c r="E360" s="7" t="s">
        <v>20</v>
      </c>
      <c r="F360" s="7">
        <v>2.3</v>
      </c>
      <c r="G360" s="7">
        <v>1.7</v>
      </c>
    </row>
    <row r="361" s="7" customFormat="1" ht="15.3" spans="1:7">
      <c r="A361" s="7" t="s">
        <v>29</v>
      </c>
      <c r="B361" s="9">
        <v>45960</v>
      </c>
      <c r="C361" s="10">
        <v>24</v>
      </c>
      <c r="D361" s="7">
        <v>12.81</v>
      </c>
      <c r="E361" s="7" t="s">
        <v>16</v>
      </c>
      <c r="F361" s="7">
        <v>0</v>
      </c>
      <c r="G361" s="7">
        <v>1.14</v>
      </c>
    </row>
    <row r="362" s="7" customFormat="1" ht="15.3" spans="1:7">
      <c r="A362" s="7" t="s">
        <v>29</v>
      </c>
      <c r="B362" s="9">
        <v>45961</v>
      </c>
      <c r="C362" s="10">
        <v>2</v>
      </c>
      <c r="D362" s="7">
        <v>12.21</v>
      </c>
      <c r="E362" s="7" t="s">
        <v>16</v>
      </c>
      <c r="F362" s="7">
        <v>0</v>
      </c>
      <c r="G362" s="7">
        <v>0.75</v>
      </c>
    </row>
    <row r="363" s="7" customFormat="1" ht="15.3" spans="1:7">
      <c r="A363" s="7" t="s">
        <v>29</v>
      </c>
      <c r="B363" s="9">
        <v>45961</v>
      </c>
      <c r="C363" s="10">
        <v>4</v>
      </c>
      <c r="D363" s="7">
        <v>11.71</v>
      </c>
      <c r="E363" s="7" t="s">
        <v>16</v>
      </c>
      <c r="F363" s="7">
        <v>0</v>
      </c>
      <c r="G363" s="7">
        <v>2.78</v>
      </c>
    </row>
    <row r="364" s="7" customFormat="1" ht="15.3" spans="1:7">
      <c r="A364" s="7" t="s">
        <v>29</v>
      </c>
      <c r="B364" s="9">
        <v>45961</v>
      </c>
      <c r="C364" s="10">
        <v>6</v>
      </c>
      <c r="D364" s="7">
        <v>11.06</v>
      </c>
      <c r="E364" s="7" t="s">
        <v>16</v>
      </c>
      <c r="F364" s="7">
        <v>0</v>
      </c>
      <c r="G364" s="7">
        <v>2.65</v>
      </c>
    </row>
    <row r="365" s="7" customFormat="1" ht="15.3" spans="1:7">
      <c r="A365" s="7" t="s">
        <v>29</v>
      </c>
      <c r="B365" s="9">
        <v>45961</v>
      </c>
      <c r="C365" s="10">
        <v>8</v>
      </c>
      <c r="D365" s="7">
        <v>11.76</v>
      </c>
      <c r="E365" s="7" t="s">
        <v>18</v>
      </c>
      <c r="F365" s="7">
        <v>0</v>
      </c>
      <c r="G365" s="7">
        <v>2</v>
      </c>
    </row>
    <row r="366" s="7" customFormat="1" ht="15.3" spans="1:7">
      <c r="A366" s="7" t="s">
        <v>29</v>
      </c>
      <c r="B366" s="9">
        <v>45961</v>
      </c>
      <c r="C366" s="10">
        <v>10</v>
      </c>
      <c r="D366" s="7">
        <v>13.81</v>
      </c>
      <c r="E366" s="7" t="s">
        <v>16</v>
      </c>
      <c r="F366" s="7">
        <v>0.1</v>
      </c>
      <c r="G366" s="7">
        <v>2.56</v>
      </c>
    </row>
    <row r="367" s="7" customFormat="1" ht="15.3" spans="1:7">
      <c r="A367" s="7" t="s">
        <v>29</v>
      </c>
      <c r="B367" s="9">
        <v>45961</v>
      </c>
      <c r="C367" s="10">
        <v>12</v>
      </c>
      <c r="D367" s="7">
        <v>15.41</v>
      </c>
      <c r="E367" s="7" t="s">
        <v>16</v>
      </c>
      <c r="F367" s="7">
        <v>0</v>
      </c>
      <c r="G367" s="7">
        <v>2.21</v>
      </c>
    </row>
    <row r="368" s="7" customFormat="1" ht="15.3" spans="1:7">
      <c r="A368" s="7" t="s">
        <v>29</v>
      </c>
      <c r="B368" s="9">
        <v>45961</v>
      </c>
      <c r="C368" s="10">
        <v>14</v>
      </c>
      <c r="D368" s="7">
        <v>16.61</v>
      </c>
      <c r="E368" s="7" t="s">
        <v>16</v>
      </c>
      <c r="F368" s="7">
        <v>0</v>
      </c>
      <c r="G368" s="7">
        <v>2.8</v>
      </c>
    </row>
    <row r="369" s="7" customFormat="1" ht="15.3" spans="1:7">
      <c r="A369" s="7" t="s">
        <v>29</v>
      </c>
      <c r="B369" s="9">
        <v>45961</v>
      </c>
      <c r="C369" s="10">
        <v>16</v>
      </c>
      <c r="D369" s="7">
        <v>16.26</v>
      </c>
      <c r="E369" s="7" t="s">
        <v>16</v>
      </c>
      <c r="F369" s="7">
        <v>0</v>
      </c>
      <c r="G369" s="7">
        <v>3.15</v>
      </c>
    </row>
    <row r="370" s="7" customFormat="1" ht="15.3" spans="1:7">
      <c r="A370" s="7" t="s">
        <v>29</v>
      </c>
      <c r="B370" s="9">
        <v>45961</v>
      </c>
      <c r="C370" s="10">
        <v>18</v>
      </c>
      <c r="D370" s="7">
        <v>14.16</v>
      </c>
      <c r="E370" s="7" t="s">
        <v>16</v>
      </c>
      <c r="F370" s="7">
        <v>0</v>
      </c>
      <c r="G370" s="7">
        <v>2.06</v>
      </c>
    </row>
    <row r="371" s="7" customFormat="1" ht="15.3" spans="1:7">
      <c r="A371" s="7" t="s">
        <v>29</v>
      </c>
      <c r="B371" s="9">
        <v>45961</v>
      </c>
      <c r="C371" s="10">
        <v>20</v>
      </c>
      <c r="D371" s="7">
        <v>12.31</v>
      </c>
      <c r="E371" s="7" t="s">
        <v>19</v>
      </c>
      <c r="F371" s="7">
        <v>0</v>
      </c>
      <c r="G371" s="7">
        <v>1.31</v>
      </c>
    </row>
    <row r="372" s="7" customFormat="1" ht="15.3" spans="1:7">
      <c r="A372" s="7" t="s">
        <v>29</v>
      </c>
      <c r="B372" s="9">
        <v>45961</v>
      </c>
      <c r="C372" s="10">
        <v>22</v>
      </c>
      <c r="D372" s="7">
        <v>10.96</v>
      </c>
      <c r="E372" s="7" t="s">
        <v>16</v>
      </c>
      <c r="F372" s="7">
        <v>0</v>
      </c>
      <c r="G372" s="7">
        <v>2.07</v>
      </c>
    </row>
    <row r="373" s="7" customFormat="1" ht="15.3" spans="1:7">
      <c r="A373" s="7" t="s">
        <v>29</v>
      </c>
      <c r="B373" s="9">
        <v>45961</v>
      </c>
      <c r="C373" s="10">
        <v>24</v>
      </c>
      <c r="D373" s="7">
        <v>10.21</v>
      </c>
      <c r="E373" s="7" t="s">
        <v>16</v>
      </c>
      <c r="F373" s="7">
        <v>0</v>
      </c>
      <c r="G373" s="7">
        <v>2.47</v>
      </c>
    </row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E7" sqref="E7"/>
    </sheetView>
  </sheetViews>
  <sheetFormatPr defaultColWidth="8.89380530973451" defaultRowHeight="14.3" outlineLevelRow="6" outlineLevelCol="2"/>
  <sheetData>
    <row r="1" ht="46" spans="1:3">
      <c r="A1" s="3" t="s">
        <v>30</v>
      </c>
      <c r="B1" s="4" t="s">
        <v>31</v>
      </c>
      <c r="C1" s="3" t="s">
        <v>32</v>
      </c>
    </row>
    <row r="2" ht="61.35" spans="1:3">
      <c r="A2" s="5" t="s">
        <v>16</v>
      </c>
      <c r="B2" s="6">
        <v>10</v>
      </c>
      <c r="C2" s="6" t="s">
        <v>33</v>
      </c>
    </row>
    <row r="3" ht="61.35" spans="1:3">
      <c r="A3" s="5" t="s">
        <v>19</v>
      </c>
      <c r="B3" s="6">
        <v>8</v>
      </c>
      <c r="C3" s="6" t="s">
        <v>34</v>
      </c>
    </row>
    <row r="4" ht="61.35" spans="1:3">
      <c r="A4" s="5" t="s">
        <v>18</v>
      </c>
      <c r="B4" s="6">
        <v>6</v>
      </c>
      <c r="C4" s="6" t="s">
        <v>35</v>
      </c>
    </row>
    <row r="5" ht="61.35" spans="1:3">
      <c r="A5" s="5" t="s">
        <v>17</v>
      </c>
      <c r="B5" s="6">
        <v>5</v>
      </c>
      <c r="C5" s="6" t="s">
        <v>36</v>
      </c>
    </row>
    <row r="6" ht="61.35" spans="1:3">
      <c r="A6" s="5" t="s">
        <v>20</v>
      </c>
      <c r="B6" s="6">
        <v>4</v>
      </c>
      <c r="C6" s="6" t="s">
        <v>37</v>
      </c>
    </row>
    <row r="7" ht="61.35" spans="1:3">
      <c r="A7" s="5" t="s">
        <v>21</v>
      </c>
      <c r="B7" s="6">
        <v>2</v>
      </c>
      <c r="C7" s="6" t="s">
        <v>38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B1" sqref="B1:B9"/>
    </sheetView>
  </sheetViews>
  <sheetFormatPr defaultColWidth="8.89380530973451" defaultRowHeight="14.3" outlineLevelCol="7"/>
  <sheetData>
    <row r="1" ht="33.35" spans="1:8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</row>
    <row r="2" ht="50" spans="1:8">
      <c r="A2" s="2" t="s">
        <v>47</v>
      </c>
      <c r="B2" s="2">
        <v>0</v>
      </c>
      <c r="C2" s="2">
        <v>0.9137</v>
      </c>
      <c r="D2" s="2">
        <v>0.7432</v>
      </c>
      <c r="E2" s="2">
        <v>0.1705</v>
      </c>
      <c r="F2" s="2">
        <v>367.1</v>
      </c>
      <c r="G2" s="2">
        <v>427.5</v>
      </c>
      <c r="H2" s="2">
        <v>23.69</v>
      </c>
    </row>
    <row r="3" ht="50" spans="1:8">
      <c r="A3" s="2" t="s">
        <v>48</v>
      </c>
      <c r="B3" s="2">
        <v>0</v>
      </c>
      <c r="C3" s="2">
        <v>0.9131</v>
      </c>
      <c r="D3" s="2">
        <v>0.7471</v>
      </c>
      <c r="E3" s="2">
        <v>0.166</v>
      </c>
      <c r="F3" s="2">
        <v>362.1</v>
      </c>
      <c r="G3" s="2">
        <v>424.3</v>
      </c>
      <c r="H3" s="2">
        <v>23</v>
      </c>
    </row>
    <row r="4" ht="50" spans="1:8">
      <c r="A4" s="2" t="s">
        <v>49</v>
      </c>
      <c r="B4" s="2">
        <v>0.03</v>
      </c>
      <c r="C4" s="2">
        <v>0.9137</v>
      </c>
      <c r="D4" s="2">
        <v>0.7452</v>
      </c>
      <c r="E4" s="2">
        <v>0.1685</v>
      </c>
      <c r="F4" s="2">
        <v>365.3</v>
      </c>
      <c r="G4" s="2">
        <v>425.9</v>
      </c>
      <c r="H4" s="2">
        <v>23.56</v>
      </c>
    </row>
    <row r="5" ht="33.35" spans="1:8">
      <c r="A5" s="2" t="s">
        <v>50</v>
      </c>
      <c r="B5" s="2">
        <v>0.01</v>
      </c>
      <c r="C5" s="2">
        <v>0.9504</v>
      </c>
      <c r="D5" s="2">
        <v>0.7112</v>
      </c>
      <c r="E5" s="2">
        <v>0.2392</v>
      </c>
      <c r="F5" s="2">
        <v>279.3</v>
      </c>
      <c r="G5" s="2">
        <v>453.4</v>
      </c>
      <c r="H5" s="2">
        <v>13.17</v>
      </c>
    </row>
    <row r="6" ht="33.35" spans="1:8">
      <c r="A6" s="2" t="s">
        <v>51</v>
      </c>
      <c r="B6" s="2">
        <v>0.66</v>
      </c>
      <c r="C6" s="2">
        <v>0.9634</v>
      </c>
      <c r="D6" s="2">
        <v>0.8704</v>
      </c>
      <c r="E6" s="2">
        <v>0.093</v>
      </c>
      <c r="F6" s="2">
        <v>188.1</v>
      </c>
      <c r="G6" s="2">
        <v>303.7</v>
      </c>
      <c r="H6" s="2">
        <v>9.31</v>
      </c>
    </row>
    <row r="7" ht="33.35" spans="1:8">
      <c r="A7" s="2" t="s">
        <v>52</v>
      </c>
      <c r="B7" s="2">
        <v>0.54</v>
      </c>
      <c r="C7" s="2">
        <v>0.9929</v>
      </c>
      <c r="D7" s="2">
        <v>0.8871</v>
      </c>
      <c r="E7" s="2">
        <v>0.1058</v>
      </c>
      <c r="F7" s="2">
        <v>171.3</v>
      </c>
      <c r="G7" s="2">
        <v>283.5</v>
      </c>
      <c r="H7" s="2">
        <v>8.17</v>
      </c>
    </row>
    <row r="8" ht="16.65" spans="1:8">
      <c r="A8" s="2" t="s">
        <v>53</v>
      </c>
      <c r="B8" s="2">
        <v>0.01</v>
      </c>
      <c r="C8" s="2">
        <v>0.1082</v>
      </c>
      <c r="D8" s="2">
        <v>0.1209</v>
      </c>
      <c r="E8" s="2">
        <v>-0.0126</v>
      </c>
      <c r="F8" s="2">
        <v>629.7</v>
      </c>
      <c r="G8" s="2">
        <v>791.1</v>
      </c>
      <c r="H8" s="2">
        <v>49.85</v>
      </c>
    </row>
    <row r="9" ht="16.65" spans="1:8">
      <c r="A9" s="2" t="s">
        <v>54</v>
      </c>
      <c r="B9" s="2">
        <v>0</v>
      </c>
      <c r="C9" s="2">
        <v>0.8696</v>
      </c>
      <c r="D9" s="2">
        <v>0.7093</v>
      </c>
      <c r="E9" s="2">
        <v>0.1603</v>
      </c>
      <c r="F9" s="2">
        <v>315.6</v>
      </c>
      <c r="G9" s="2">
        <v>454.9</v>
      </c>
      <c r="H9" s="2">
        <v>17.61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zoomScale="23" zoomScaleNormal="23" workbookViewId="0">
      <selection activeCell="A1" sqref="A1:C7"/>
    </sheetView>
  </sheetViews>
  <sheetFormatPr defaultColWidth="8.89380530973451" defaultRowHeight="14.3" outlineLevelRow="6" outlineLevelCol="2"/>
  <cols>
    <col min="2" max="2" width="7.25663716814159" customWidth="1"/>
    <col min="3" max="3" width="10.3805309734513" customWidth="1"/>
  </cols>
  <sheetData>
    <row r="1" ht="16.65" spans="1:3">
      <c r="A1" s="1" t="s">
        <v>55</v>
      </c>
      <c r="B1" s="1" t="s">
        <v>56</v>
      </c>
      <c r="C1" s="1" t="s">
        <v>57</v>
      </c>
    </row>
    <row r="2" ht="409.5" spans="1:3">
      <c r="A2" s="2" t="s">
        <v>58</v>
      </c>
      <c r="B2" s="2" t="s">
        <v>59</v>
      </c>
      <c r="C2" s="2" t="s">
        <v>60</v>
      </c>
    </row>
    <row r="3" ht="183.35" spans="1:3">
      <c r="A3" s="2" t="s">
        <v>61</v>
      </c>
      <c r="B3" s="2" t="s">
        <v>62</v>
      </c>
      <c r="C3" s="2" t="s">
        <v>63</v>
      </c>
    </row>
    <row r="4" ht="100" spans="1:3">
      <c r="A4" s="2" t="s">
        <v>64</v>
      </c>
      <c r="B4" s="2" t="s">
        <v>65</v>
      </c>
      <c r="C4" s="2" t="s">
        <v>66</v>
      </c>
    </row>
    <row r="5" ht="200" spans="1:3">
      <c r="A5" s="2" t="s">
        <v>67</v>
      </c>
      <c r="B5" s="2" t="s">
        <v>68</v>
      </c>
      <c r="C5" s="2" t="s">
        <v>69</v>
      </c>
    </row>
    <row r="6" ht="150" spans="1:3">
      <c r="A6" s="2" t="s">
        <v>70</v>
      </c>
      <c r="B6" s="2" t="s">
        <v>71</v>
      </c>
      <c r="C6" s="2" t="s">
        <v>72</v>
      </c>
    </row>
    <row r="7" ht="166.65" spans="1:3">
      <c r="A7" s="2" t="s">
        <v>73</v>
      </c>
      <c r="B7" s="2" t="s">
        <v>74</v>
      </c>
      <c r="C7" s="2" t="s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14624</dc:creator>
  <cp:lastModifiedBy>A·S·Z·Q</cp:lastModifiedBy>
  <dcterms:created xsi:type="dcterms:W3CDTF">2025-12-20T08:23:18Z</dcterms:created>
  <dcterms:modified xsi:type="dcterms:W3CDTF">2026-01-03T18:29:31Z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63E28862D94643C89D0C4EEA37ACC8FF_11</vt:lpwstr>
  </property>
  <property fmtid="{D5CDD505-2E9C-101B-9397-08002B2CF9AE}" pid="3" name="KSOProductBuildVer">
    <vt:lpwstr>2052-12.1.0.23542</vt:lpwstr>
  </property>
</Properties>
</file>